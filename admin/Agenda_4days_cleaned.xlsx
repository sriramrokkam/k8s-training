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D051945/SAPDevelop/git-repos/docker-k8s-training/admin/"/>
    </mc:Choice>
  </mc:AlternateContent>
  <xr:revisionPtr revIDLastSave="0" documentId="13_ncr:1_{5CE18159-09C4-F44D-8F37-96CA7B20BE60}" xr6:coauthVersionLast="47" xr6:coauthVersionMax="47" xr10:uidLastSave="{00000000-0000-0000-0000-000000000000}"/>
  <bookViews>
    <workbookView xWindow="48860" yWindow="-3920" windowWidth="34640" windowHeight="21900" activeTab="3" xr2:uid="{00000000-000D-0000-FFFF-FFFF00000000}"/>
  </bookViews>
  <sheets>
    <sheet name="Day1" sheetId="29" r:id="rId1"/>
    <sheet name="Day 2" sheetId="30" r:id="rId2"/>
    <sheet name="Day 3" sheetId="31" r:id="rId3"/>
    <sheet name="Day 4" sheetId="32" r:id="rId4"/>
  </sheets>
  <definedNames>
    <definedName name="_xlnm.Print_Area" localSheetId="1">'Day 2'!$B$9:$M$32</definedName>
    <definedName name="_xlnm.Print_Area" localSheetId="2">'Day 3'!$B$9:$M$30</definedName>
    <definedName name="_xlnm.Print_Area" localSheetId="3">'Day 4'!$B$9:$M$29</definedName>
    <definedName name="_xlnm.Print_Area" localSheetId="0">'Day1'!$B$9:$M$29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29" l="1"/>
  <c r="E27" i="32" l="1"/>
  <c r="E28" i="31"/>
  <c r="F13" i="32" l="1"/>
  <c r="F14" i="32" l="1"/>
  <c r="B13" i="32"/>
  <c r="C13" i="32"/>
  <c r="D13" i="32" s="1"/>
  <c r="F13" i="31"/>
  <c r="E30" i="30"/>
  <c r="F13" i="30"/>
  <c r="B14" i="32" l="1"/>
  <c r="C14" i="32"/>
  <c r="D14" i="32" s="1"/>
  <c r="F15" i="32"/>
  <c r="B15" i="32" s="1"/>
  <c r="B13" i="31"/>
  <c r="B13" i="30"/>
  <c r="F14" i="30"/>
  <c r="C13" i="31"/>
  <c r="D13" i="31" s="1"/>
  <c r="C13" i="30"/>
  <c r="D13" i="30" s="1"/>
  <c r="F13" i="29"/>
  <c r="C15" i="32" l="1"/>
  <c r="D15" i="32" s="1"/>
  <c r="F14" i="31"/>
  <c r="F15" i="31" s="1"/>
  <c r="B15" i="31" s="1"/>
  <c r="F15" i="30"/>
  <c r="B14" i="30"/>
  <c r="C14" i="30"/>
  <c r="D14" i="30" s="1"/>
  <c r="C13" i="29"/>
  <c r="D13" i="29" s="1"/>
  <c r="B13" i="29"/>
  <c r="F16" i="31" l="1"/>
  <c r="B14" i="31"/>
  <c r="C14" i="31"/>
  <c r="D14" i="31" s="1"/>
  <c r="C15" i="31" s="1"/>
  <c r="D15" i="31" s="1"/>
  <c r="C15" i="30"/>
  <c r="D15" i="30" s="1"/>
  <c r="B15" i="30"/>
  <c r="F16" i="32"/>
  <c r="F17" i="31" l="1"/>
  <c r="C16" i="31"/>
  <c r="D16" i="31" s="1"/>
  <c r="B16" i="31"/>
  <c r="B16" i="32"/>
  <c r="F17" i="32"/>
  <c r="C16" i="32"/>
  <c r="D16" i="32" s="1"/>
  <c r="C17" i="31" l="1"/>
  <c r="D17" i="31" s="1"/>
  <c r="B17" i="31"/>
  <c r="B17" i="32"/>
  <c r="C17" i="32"/>
  <c r="D17" i="32" s="1"/>
  <c r="F14" i="29" l="1"/>
  <c r="C14" i="29" s="1"/>
  <c r="D14" i="29" s="1"/>
  <c r="F15" i="29" l="1"/>
  <c r="F16" i="29" s="1"/>
  <c r="F17" i="29" s="1"/>
  <c r="F18" i="29" s="1"/>
  <c r="B14" i="29"/>
  <c r="B15" i="29" l="1"/>
  <c r="C15" i="29"/>
  <c r="D15" i="29" s="1"/>
  <c r="C16" i="29" s="1"/>
  <c r="D16" i="29" s="1"/>
  <c r="C17" i="29" s="1"/>
  <c r="D17" i="29" s="1"/>
  <c r="C18" i="29" s="1"/>
  <c r="D18" i="29" s="1"/>
  <c r="B16" i="29"/>
  <c r="B17" i="29"/>
  <c r="B18" i="29"/>
  <c r="F19" i="29"/>
  <c r="C19" i="29" l="1"/>
  <c r="D19" i="29" s="1"/>
  <c r="B19" i="29"/>
  <c r="F20" i="29"/>
  <c r="F21" i="29" l="1"/>
  <c r="B20" i="29"/>
  <c r="C20" i="29"/>
  <c r="D20" i="29" s="1"/>
  <c r="C21" i="29" l="1"/>
  <c r="D21" i="29" s="1"/>
  <c r="F22" i="29"/>
  <c r="B21" i="29"/>
  <c r="B22" i="29" l="1"/>
  <c r="C22" i="29"/>
  <c r="D22" i="29" s="1"/>
  <c r="F23" i="29" l="1"/>
  <c r="F24" i="29" l="1"/>
  <c r="C23" i="29"/>
  <c r="D23" i="29" s="1"/>
  <c r="B23" i="29"/>
  <c r="C24" i="29" l="1"/>
  <c r="D24" i="29" s="1"/>
  <c r="B24" i="29"/>
  <c r="F25" i="29"/>
  <c r="F26" i="29" s="1"/>
  <c r="B26" i="29" l="1"/>
  <c r="B25" i="29"/>
  <c r="C25" i="29"/>
  <c r="D25" i="29" s="1"/>
  <c r="C26" i="29" s="1"/>
  <c r="D26" i="29" s="1"/>
  <c r="F16" i="30" l="1"/>
  <c r="B16" i="30" s="1"/>
  <c r="C16" i="30" l="1"/>
  <c r="D16" i="30" s="1"/>
  <c r="F17" i="30"/>
  <c r="F18" i="30" s="1"/>
  <c r="F19" i="30" s="1"/>
  <c r="B17" i="30" l="1"/>
  <c r="B18" i="30"/>
  <c r="C17" i="30"/>
  <c r="D17" i="30" s="1"/>
  <c r="C18" i="30" s="1"/>
  <c r="D18" i="30" s="1"/>
  <c r="C19" i="30" s="1"/>
  <c r="D19" i="30" s="1"/>
  <c r="B19" i="30"/>
  <c r="F20" i="30" l="1"/>
  <c r="F21" i="30" s="1"/>
  <c r="B21" i="30" s="1"/>
  <c r="B20" i="30" l="1"/>
  <c r="F22" i="30"/>
  <c r="C20" i="30"/>
  <c r="D20" i="30" s="1"/>
  <c r="C21" i="30" s="1"/>
  <c r="D21" i="30" s="1"/>
  <c r="C22" i="30" l="1"/>
  <c r="D22" i="30" s="1"/>
  <c r="F23" i="30"/>
  <c r="B22" i="30"/>
  <c r="F24" i="30" l="1"/>
  <c r="B23" i="30"/>
  <c r="C23" i="30"/>
  <c r="D23" i="30" s="1"/>
  <c r="C24" i="30" l="1"/>
  <c r="D24" i="30" s="1"/>
  <c r="B24" i="30"/>
  <c r="F25" i="30" l="1"/>
  <c r="F26" i="30" l="1"/>
  <c r="F27" i="30" s="1"/>
  <c r="F28" i="30" s="1"/>
  <c r="F29" i="30" s="1"/>
  <c r="B25" i="30"/>
  <c r="C25" i="30"/>
  <c r="D25" i="30" s="1"/>
  <c r="B29" i="30" l="1"/>
  <c r="B28" i="30"/>
  <c r="B27" i="30"/>
  <c r="C26" i="30"/>
  <c r="D26" i="30" s="1"/>
  <c r="C27" i="30" s="1"/>
  <c r="D27" i="30" s="1"/>
  <c r="C28" i="30" s="1"/>
  <c r="D28" i="30" s="1"/>
  <c r="C29" i="30" s="1"/>
  <c r="D29" i="30" s="1"/>
  <c r="B26" i="30"/>
  <c r="F18" i="31" l="1"/>
  <c r="C18" i="31" s="1"/>
  <c r="D18" i="31" s="1"/>
  <c r="F19" i="31" l="1"/>
  <c r="F20" i="31" s="1"/>
  <c r="B18" i="31"/>
  <c r="C19" i="31" l="1"/>
  <c r="D19" i="31" s="1"/>
  <c r="C20" i="31" s="1"/>
  <c r="D20" i="31" s="1"/>
  <c r="B20" i="31"/>
  <c r="B19" i="31"/>
  <c r="F21" i="31"/>
  <c r="F22" i="31" s="1"/>
  <c r="F23" i="31" l="1"/>
  <c r="B22" i="31"/>
  <c r="B21" i="31"/>
  <c r="C21" i="31"/>
  <c r="D21" i="31" s="1"/>
  <c r="C22" i="31" s="1"/>
  <c r="D22" i="31" s="1"/>
  <c r="C23" i="31" l="1"/>
  <c r="D23" i="31" s="1"/>
  <c r="B23" i="31"/>
  <c r="F24" i="31"/>
  <c r="B24" i="31" l="1"/>
  <c r="F25" i="31"/>
  <c r="C24" i="31"/>
  <c r="D24" i="31" s="1"/>
  <c r="F26" i="31" l="1"/>
  <c r="C25" i="31"/>
  <c r="D25" i="31" s="1"/>
  <c r="B25" i="31"/>
  <c r="B26" i="31" l="1"/>
  <c r="C26" i="31"/>
  <c r="D26" i="31" s="1"/>
  <c r="F27" i="31" l="1"/>
  <c r="C27" i="31" l="1"/>
  <c r="D27" i="31" s="1"/>
  <c r="B27" i="31"/>
  <c r="F18" i="32"/>
  <c r="C18" i="32" s="1"/>
  <c r="D18" i="32" s="1"/>
  <c r="F19" i="32" l="1"/>
  <c r="F20" i="32" s="1"/>
  <c r="F21" i="32" s="1"/>
  <c r="B18" i="32"/>
  <c r="B19" i="32" l="1"/>
  <c r="B20" i="32"/>
  <c r="C19" i="32"/>
  <c r="D19" i="32" s="1"/>
  <c r="C20" i="32" s="1"/>
  <c r="F22" i="32"/>
  <c r="B21" i="32"/>
  <c r="D20" i="32" l="1"/>
  <c r="C21" i="32" s="1"/>
  <c r="D21" i="32" s="1"/>
  <c r="C22" i="32" s="1"/>
  <c r="D22" i="32" s="1"/>
  <c r="B22" i="32"/>
  <c r="F23" i="32"/>
  <c r="F24" i="32" l="1"/>
  <c r="C23" i="32"/>
  <c r="D23" i="32" s="1"/>
  <c r="B23" i="32"/>
  <c r="B24" i="32" l="1"/>
  <c r="F25" i="32"/>
  <c r="C24" i="32"/>
  <c r="D24" i="32" s="1"/>
  <c r="F26" i="32" l="1"/>
  <c r="B25" i="32"/>
  <c r="C25" i="32"/>
  <c r="D25" i="32" s="1"/>
  <c r="C26" i="32" l="1"/>
  <c r="D26" i="32" s="1"/>
  <c r="B26" i="32"/>
</calcChain>
</file>

<file path=xl/sharedStrings.xml><?xml version="1.0" encoding="utf-8"?>
<sst xmlns="http://schemas.openxmlformats.org/spreadsheetml/2006/main" count="148" uniqueCount="97">
  <si>
    <t>Meeting Information:</t>
  </si>
  <si>
    <t>Start</t>
  </si>
  <si>
    <t>End</t>
  </si>
  <si>
    <t>Duration</t>
  </si>
  <si>
    <t>Stop</t>
  </si>
  <si>
    <t>Topic</t>
  </si>
  <si>
    <t>Presenter</t>
  </si>
  <si>
    <t>Comment</t>
  </si>
  <si>
    <t>Introduction + Expectations</t>
  </si>
  <si>
    <t>Break</t>
  </si>
  <si>
    <r>
      <t xml:space="preserve">NOTE: To move topics please cut </t>
    </r>
    <r>
      <rPr>
        <b/>
        <i/>
        <u/>
        <sz val="12"/>
        <color rgb="FFFF0000"/>
        <rFont val="Calibri (Body)"/>
      </rPr>
      <t>the entire row</t>
    </r>
    <r>
      <rPr>
        <b/>
        <sz val="12"/>
        <color theme="1"/>
        <rFont val="Calibri"/>
        <family val="2"/>
        <scheme val="minor"/>
      </rPr>
      <t xml:space="preserve">, and use "insert cut cells" from the contect menu - </t>
    </r>
    <r>
      <rPr>
        <b/>
        <i/>
        <u/>
        <sz val="12"/>
        <color rgb="FFFF0000"/>
        <rFont val="Calibri (Body)"/>
      </rPr>
      <t>not simple "paste"</t>
    </r>
    <r>
      <rPr>
        <b/>
        <sz val="12"/>
        <color theme="1"/>
        <rFont val="Calibri"/>
        <family val="2"/>
        <scheme val="minor"/>
      </rPr>
      <t>!</t>
    </r>
  </si>
  <si>
    <t>All</t>
  </si>
  <si>
    <t>Docker &amp; K8s Fundamentals, Day 1</t>
  </si>
  <si>
    <t>Docker &amp; K8s Fundamentals, Day 2</t>
  </si>
  <si>
    <t>Docker &amp; K8s Fundamentals, Day 3</t>
  </si>
  <si>
    <t>Docker &amp; K8s Fundamentals, Day 4</t>
  </si>
  <si>
    <t>Summary of day 1, Starting day 2</t>
  </si>
  <si>
    <t>Summary of day 3, Starting day 4</t>
  </si>
  <si>
    <t>Summary of day 2, Starting day 3</t>
  </si>
  <si>
    <t>Exercise: Ingress</t>
  </si>
  <si>
    <t>Presentation: Why Docker &amp; Kubernetes</t>
  </si>
  <si>
    <t>Presentation: Linux building blocks: containers under the hood</t>
  </si>
  <si>
    <t>01_Basics_of_containers.pptx</t>
  </si>
  <si>
    <t>00_why_docker_k8s.pptx</t>
  </si>
  <si>
    <t>Presentation + type along exercise: Container lifecycle</t>
  </si>
  <si>
    <t>02_Container_Lifecycle.pptx</t>
  </si>
  <si>
    <t>Lunch Break</t>
  </si>
  <si>
    <t>Presentation: Image lifecycle and Dockerfiles</t>
  </si>
  <si>
    <t>03_Image_Lifecycle.pptx</t>
  </si>
  <si>
    <t>Exercise: Dockerfiles</t>
  </si>
  <si>
    <t>Exercise: Multistage Dockerfiles</t>
  </si>
  <si>
    <t>Exercise_1_Dockerfiles.md</t>
  </si>
  <si>
    <t>Exercise_2_Multistage_Dockerfiles.md</t>
  </si>
  <si>
    <t>Type along exercise: upload images to the registry</t>
  </si>
  <si>
    <t>Presentation: Working locally</t>
  </si>
  <si>
    <t>04_Working_locally.pptx</t>
  </si>
  <si>
    <t>Exercise: Ports and Volumes</t>
  </si>
  <si>
    <t>Exercise_3_Ports_Volumes.md</t>
  </si>
  <si>
    <t>Q&amp;A, Feedback</t>
  </si>
  <si>
    <t>Presentation: K8s Intro</t>
  </si>
  <si>
    <t>00_intro.pptx</t>
  </si>
  <si>
    <t>Presentation: K8s Core Components</t>
  </si>
  <si>
    <t>01_k8s_core_components.pptx</t>
  </si>
  <si>
    <t>Hand out kubeconfigs</t>
  </si>
  <si>
    <t>Exercise: Kubectl Basics</t>
  </si>
  <si>
    <t>exercise_01_kubectl_basics.md</t>
  </si>
  <si>
    <t>Presentation: Pods</t>
  </si>
  <si>
    <t>02_pods.pptx</t>
  </si>
  <si>
    <t>Exercise: Create a Pod</t>
  </si>
  <si>
    <t>exercise_02_create_pod.md</t>
  </si>
  <si>
    <t>Presentation: Labels &amp; Deployments</t>
  </si>
  <si>
    <t>03_labels_and_deployments.pptx</t>
  </si>
  <si>
    <t>Exercise: Deployments</t>
  </si>
  <si>
    <t>exercise_03_deployment.md</t>
  </si>
  <si>
    <t>Presentation: Services</t>
  </si>
  <si>
    <t>04_networking_services.pptx</t>
  </si>
  <si>
    <t>Exercise: Services</t>
  </si>
  <si>
    <t>exercise_04_services.md</t>
  </si>
  <si>
    <t>Presentation: Storage API in K8s</t>
  </si>
  <si>
    <t>05_persistence.pptx</t>
  </si>
  <si>
    <t>exercise_05_persistence.md</t>
  </si>
  <si>
    <t>Exercise: Persistence</t>
  </si>
  <si>
    <t>Closing</t>
  </si>
  <si>
    <t>Presentation: Troubleshooting</t>
  </si>
  <si>
    <t>06_troubleshooting.pptx</t>
  </si>
  <si>
    <t>Presentation: ConfigMaps and Secrets</t>
  </si>
  <si>
    <t>07_configmap_secrets.pptx</t>
  </si>
  <si>
    <t>Exercise: ConfigMaps and Secrets</t>
  </si>
  <si>
    <t>exercise_06_configmaps_secrets.md</t>
  </si>
  <si>
    <t>Presentation: Ingress</t>
  </si>
  <si>
    <t>09_ingress.pptx</t>
  </si>
  <si>
    <t>exercise_07_ingress.md</t>
  </si>
  <si>
    <t>Presentation: Statefulsets</t>
  </si>
  <si>
    <t>10_statefulset.pptx</t>
  </si>
  <si>
    <t>Exercise: Statefulsets</t>
  </si>
  <si>
    <t>exercise_08_statefulset.md</t>
  </si>
  <si>
    <t>Presentation: RBAC, resource limits …</t>
  </si>
  <si>
    <t>11_1_accessControll_and_resourceConsumption.pptx</t>
  </si>
  <si>
    <t>Presentation: Security &amp; Networkpolicies</t>
  </si>
  <si>
    <t>11_2_security.pptx</t>
  </si>
  <si>
    <t>Exercise: Networkpolicies</t>
  </si>
  <si>
    <t>exercise_09_network_policy.md</t>
  </si>
  <si>
    <t>11_4_Gardener.pptx</t>
  </si>
  <si>
    <t>Presentation: Gardener</t>
  </si>
  <si>
    <t>12_helm.pptx</t>
  </si>
  <si>
    <t>exercise_10_helm_basics.md</t>
  </si>
  <si>
    <t>Exercise: Helm Basics</t>
  </si>
  <si>
    <t>Presentation: Introducing the Fortune Cookies App</t>
  </si>
  <si>
    <t>fortune-cookies.pptx</t>
  </si>
  <si>
    <t>Exercise: Fortune Cookies</t>
  </si>
  <si>
    <t>./sample-app/*.md</t>
  </si>
  <si>
    <t>Ask Participants to fill out feedback form</t>
  </si>
  <si>
    <t>Ask for feedback in the call (in case anyone wants to give some)</t>
  </si>
  <si>
    <t>Presentation Jobs, CRDs, …</t>
  </si>
  <si>
    <t>11_3_morePods_Scheduling.pptx</t>
  </si>
  <si>
    <t>Presentation Helm</t>
  </si>
  <si>
    <t>Exercise: Fortune Cookies with Breaks as you see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</si>
</sst>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u/>
      <sz val="12"/>
      <color rgb="FFFF0000"/>
      <name val="Calibri (Body)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D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9" fillId="0" borderId="0" xfId="0" applyFont="1"/>
    <xf numFmtId="0" fontId="7" fillId="3" borderId="0" xfId="0" applyFont="1" applyFill="1"/>
    <xf numFmtId="0" fontId="0" fillId="3" borderId="0" xfId="0" applyFill="1"/>
    <xf numFmtId="0" fontId="10" fillId="0" borderId="0" xfId="0" applyFont="1"/>
    <xf numFmtId="0" fontId="13" fillId="0" borderId="3" xfId="0" applyFont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20" fontId="13" fillId="2" borderId="1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4" fillId="0" borderId="0" xfId="0" applyFont="1"/>
    <xf numFmtId="0" fontId="13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5" fillId="0" borderId="0" xfId="0" applyFont="1"/>
    <xf numFmtId="21" fontId="0" fillId="2" borderId="0" xfId="0" applyNumberFormat="1" applyFill="1" applyAlignment="1">
      <alignment horizontal="center"/>
    </xf>
    <xf numFmtId="0" fontId="8" fillId="4" borderId="6" xfId="0" applyFont="1" applyFill="1" applyBorder="1" applyAlignment="1">
      <alignment horizontal="left" vertical="center"/>
    </xf>
    <xf numFmtId="0" fontId="4" fillId="0" borderId="0" xfId="2" applyFont="1" applyFill="1"/>
    <xf numFmtId="0" fontId="4" fillId="0" borderId="0" xfId="1" applyFont="1" applyFill="1"/>
    <xf numFmtId="0" fontId="1" fillId="0" borderId="0" xfId="4" applyFont="1" applyFill="1"/>
    <xf numFmtId="0" fontId="5" fillId="0" borderId="0" xfId="2" applyFill="1" applyAlignment="1">
      <alignment textRotation="255" wrapText="1"/>
    </xf>
    <xf numFmtId="0" fontId="3" fillId="0" borderId="0" xfId="3" applyFill="1" applyAlignment="1">
      <alignment textRotation="255" wrapText="1"/>
    </xf>
    <xf numFmtId="0" fontId="2" fillId="0" borderId="0" xfId="4" applyFill="1"/>
    <xf numFmtId="0" fontId="13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6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164" fontId="13" fillId="0" borderId="3" xfId="0" applyNumberFormat="1" applyFont="1" applyBorder="1" applyAlignment="1" applyProtection="1">
      <alignment horizontal="center" vertical="center"/>
      <protection locked="0"/>
    </xf>
  </cellXfs>
  <cellStyles count="5">
    <cellStyle name="40 % - Akzent3" xfId="3" builtinId="39"/>
    <cellStyle name="40 % - Akzent4" xfId="2" builtinId="43"/>
    <cellStyle name="60 % - Akzent3" xfId="1" builtinId="40"/>
    <cellStyle name="60 % - Akzent5" xfId="4" builtinId="48"/>
    <cellStyle name="Standard" xfId="0" builtinId="0"/>
  </cellStyles>
  <dxfs count="4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35"/>
  <sheetViews>
    <sheetView topLeftCell="B9" zoomScale="130" zoomScaleNormal="130" zoomScalePageLayoutView="150" workbookViewId="0">
      <selection activeCell="H35" sqref="H35"/>
    </sheetView>
  </sheetViews>
  <sheetFormatPr baseColWidth="10" defaultColWidth="12" defaultRowHeight="12" x14ac:dyDescent="0.15"/>
  <cols>
    <col min="1" max="1" width="0" hidden="1" customWidth="1"/>
    <col min="2" max="2" width="5.3984375" customWidth="1"/>
    <col min="3" max="4" width="11.59765625" customWidth="1"/>
    <col min="5" max="5" width="12.19921875" customWidth="1"/>
    <col min="6" max="6" width="4.59765625" customWidth="1"/>
    <col min="7" max="8" width="11.3984375" customWidth="1"/>
    <col min="9" max="9" width="2.3984375" customWidth="1"/>
    <col min="10" max="10" width="11.3984375" customWidth="1"/>
    <col min="11" max="11" width="45.59765625" customWidth="1"/>
    <col min="12" max="12" width="15.19921875" customWidth="1"/>
    <col min="13" max="13" width="47" customWidth="1"/>
    <col min="14" max="15" width="9.3984375" customWidth="1"/>
    <col min="16" max="16" width="16.59765625" customWidth="1"/>
    <col min="17" max="251" width="9.3984375" customWidth="1"/>
  </cols>
  <sheetData>
    <row r="1" spans="2:20" ht="15" hidden="1" x14ac:dyDescent="0.2">
      <c r="G1" s="6" t="s">
        <v>0</v>
      </c>
      <c r="H1" s="7"/>
      <c r="I1" s="7"/>
      <c r="J1" s="7"/>
      <c r="K1" s="7"/>
      <c r="L1" s="7"/>
      <c r="M1" s="7"/>
    </row>
    <row r="2" spans="2:20" ht="0.5" hidden="1" customHeight="1" x14ac:dyDescent="0.15">
      <c r="F2" s="34"/>
      <c r="G2" s="34"/>
      <c r="H2" s="34"/>
      <c r="I2" s="34"/>
      <c r="J2" s="19"/>
      <c r="K2" s="19" t="s">
        <v>1</v>
      </c>
      <c r="L2" s="19" t="s">
        <v>2</v>
      </c>
      <c r="M2" s="19"/>
    </row>
    <row r="3" spans="2:20" ht="0.5" hidden="1" customHeight="1" x14ac:dyDescent="0.15">
      <c r="F3" s="35"/>
      <c r="G3" s="35"/>
      <c r="H3" s="35"/>
      <c r="I3" s="35"/>
      <c r="J3" s="2"/>
      <c r="K3" s="3">
        <v>0.375</v>
      </c>
      <c r="L3" s="3">
        <v>0.70833333333333337</v>
      </c>
      <c r="M3" s="21"/>
    </row>
    <row r="4" spans="2:20" hidden="1" x14ac:dyDescent="0.15">
      <c r="F4" s="1"/>
      <c r="G4" s="1"/>
      <c r="H4" s="1"/>
      <c r="I4" s="1"/>
      <c r="J4" s="2"/>
      <c r="K4" s="3"/>
      <c r="L4" s="3"/>
      <c r="M4" s="4"/>
    </row>
    <row r="5" spans="2:20" hidden="1" x14ac:dyDescent="0.15">
      <c r="F5" s="1"/>
      <c r="G5" s="1"/>
      <c r="H5" s="1"/>
      <c r="I5" s="1"/>
      <c r="J5" s="2"/>
      <c r="K5" s="3"/>
      <c r="L5" s="3"/>
      <c r="M5" s="4"/>
    </row>
    <row r="6" spans="2:20" hidden="1" x14ac:dyDescent="0.15">
      <c r="F6" s="1"/>
      <c r="G6" s="1"/>
      <c r="H6" s="1"/>
      <c r="I6" s="1"/>
      <c r="J6" s="2"/>
      <c r="K6" s="3"/>
      <c r="L6" s="3"/>
      <c r="M6" s="4"/>
    </row>
    <row r="7" spans="2:20" hidden="1" x14ac:dyDescent="0.15">
      <c r="F7" s="1"/>
      <c r="G7" s="1"/>
      <c r="H7" s="1"/>
      <c r="I7" s="1"/>
      <c r="J7" s="2"/>
      <c r="K7" s="3"/>
      <c r="L7" s="3"/>
      <c r="M7" s="4"/>
    </row>
    <row r="8" spans="2:20" hidden="1" x14ac:dyDescent="0.15">
      <c r="F8" s="1"/>
      <c r="G8" s="1"/>
      <c r="H8" s="1"/>
      <c r="I8" s="1"/>
      <c r="J8" s="2"/>
      <c r="K8" s="3"/>
      <c r="L8" s="3"/>
      <c r="M8" s="4"/>
    </row>
    <row r="9" spans="2:20" ht="20" x14ac:dyDescent="0.2">
      <c r="B9" s="5" t="s">
        <v>12</v>
      </c>
      <c r="F9" s="1"/>
      <c r="G9" s="1"/>
      <c r="H9" s="1"/>
      <c r="I9" s="1"/>
      <c r="J9" s="2"/>
      <c r="K9" s="3"/>
      <c r="L9" s="3"/>
      <c r="M9" s="4"/>
    </row>
    <row r="10" spans="2:20" hidden="1" x14ac:dyDescent="0.15">
      <c r="F10" s="1"/>
      <c r="G10" s="1"/>
      <c r="H10" s="1"/>
      <c r="I10" s="1"/>
      <c r="J10" s="2"/>
      <c r="K10" s="3"/>
      <c r="L10" s="3"/>
      <c r="M10" s="4"/>
    </row>
    <row r="11" spans="2:20" ht="13" thickBot="1" x14ac:dyDescent="0.2">
      <c r="F11" s="1"/>
      <c r="G11" s="1"/>
      <c r="H11" s="1"/>
      <c r="I11" s="1"/>
      <c r="J11" s="2"/>
      <c r="K11" s="3"/>
      <c r="L11" s="3"/>
      <c r="M11" s="4"/>
    </row>
    <row r="12" spans="2:20" s="16" customFormat="1" ht="21.75" customHeight="1" x14ac:dyDescent="0.15">
      <c r="B12" s="14"/>
      <c r="C12" s="14" t="s">
        <v>1</v>
      </c>
      <c r="D12" s="14" t="s">
        <v>4</v>
      </c>
      <c r="E12" s="14" t="s">
        <v>3</v>
      </c>
      <c r="F12" s="36" t="s">
        <v>5</v>
      </c>
      <c r="G12" s="37"/>
      <c r="H12" s="37"/>
      <c r="I12" s="37"/>
      <c r="J12" s="37"/>
      <c r="K12" s="38"/>
      <c r="L12" s="22" t="s">
        <v>6</v>
      </c>
      <c r="M12" s="15" t="s">
        <v>7</v>
      </c>
    </row>
    <row r="13" spans="2:20" ht="24" customHeight="1" x14ac:dyDescent="0.2">
      <c r="B13" s="9">
        <f t="shared" ref="B13:B25" ca="1" si="0">F13</f>
        <v>1</v>
      </c>
      <c r="C13" s="10">
        <f t="shared" ref="C13:C25" ca="1" si="1">IF(E13="Select","",IF(AND(F13=1,E13&lt;&gt;"Select"),$K$3,OFFSET(C13,-1,1)))</f>
        <v>0.375</v>
      </c>
      <c r="D13" s="10">
        <f ca="1">IF(ISERROR(E13+C13),"",E13+C13)</f>
        <v>0.39583333333333331</v>
      </c>
      <c r="E13" s="11">
        <v>2.0833333333333332E-2</v>
      </c>
      <c r="F13" s="12">
        <f t="shared" ref="F13:F23" ca="1" si="2">ROW()-ROW(OFFSET(F13,-1,))+IF(ISERROR(OFFSET(F13,-1,)*1),0,OFFSET(F13,-1,))</f>
        <v>1</v>
      </c>
      <c r="G13" s="31" t="s">
        <v>8</v>
      </c>
      <c r="H13" s="32"/>
      <c r="I13" s="32"/>
      <c r="J13" s="32"/>
      <c r="K13" s="33"/>
      <c r="L13" s="18" t="s">
        <v>11</v>
      </c>
      <c r="M13" s="12"/>
      <c r="N13" s="24"/>
      <c r="O13" s="26"/>
      <c r="P13" s="20"/>
      <c r="Q13" s="17"/>
      <c r="R13" s="17"/>
      <c r="S13" s="17"/>
      <c r="T13" s="17"/>
    </row>
    <row r="14" spans="2:20" ht="24" customHeight="1" x14ac:dyDescent="0.15">
      <c r="B14" s="9">
        <f t="shared" ca="1" si="0"/>
        <v>2</v>
      </c>
      <c r="C14" s="10">
        <f t="shared" ca="1" si="1"/>
        <v>0.39583333333333331</v>
      </c>
      <c r="D14" s="10">
        <f t="shared" ref="D14:D25" ca="1" si="3">IF(ISERROR(E14+C14),"",E14+C14)</f>
        <v>0.41666666666666663</v>
      </c>
      <c r="E14" s="11">
        <v>2.0833333333333332E-2</v>
      </c>
      <c r="F14" s="12">
        <f ca="1">ROW()-ROW(OFFSET(F14,-1,))+IF(ISERROR(OFFSET(F14,-1,)*1),0,OFFSET(F14,-1,))</f>
        <v>2</v>
      </c>
      <c r="G14" s="31" t="s">
        <v>20</v>
      </c>
      <c r="H14" s="32"/>
      <c r="I14" s="32"/>
      <c r="J14" s="32"/>
      <c r="K14" s="33"/>
      <c r="L14" s="18"/>
      <c r="M14" s="12" t="s">
        <v>23</v>
      </c>
      <c r="N14" s="26"/>
      <c r="O14" s="17"/>
      <c r="P14" s="20"/>
      <c r="Q14" s="17"/>
      <c r="R14" s="17"/>
      <c r="S14" s="17"/>
      <c r="T14" s="17"/>
    </row>
    <row r="15" spans="2:20" ht="24" customHeight="1" x14ac:dyDescent="0.2">
      <c r="B15" s="9">
        <f t="shared" ca="1" si="0"/>
        <v>3</v>
      </c>
      <c r="C15" s="10">
        <f t="shared" ca="1" si="1"/>
        <v>0.41666666666666663</v>
      </c>
      <c r="D15" s="10">
        <f t="shared" ca="1" si="3"/>
        <v>0.42361111111111105</v>
      </c>
      <c r="E15" s="11">
        <v>6.9444444444444441E-3</v>
      </c>
      <c r="F15" s="12">
        <f t="shared" ca="1" si="2"/>
        <v>3</v>
      </c>
      <c r="G15" s="31" t="s">
        <v>9</v>
      </c>
      <c r="H15" s="32"/>
      <c r="I15" s="32"/>
      <c r="J15" s="32"/>
      <c r="K15" s="33"/>
      <c r="L15" s="18"/>
      <c r="M15" s="12"/>
      <c r="N15" s="24"/>
      <c r="O15" s="26"/>
      <c r="P15" s="20"/>
      <c r="Q15" s="17"/>
      <c r="R15" s="17"/>
      <c r="S15" s="17"/>
      <c r="T15" s="17"/>
    </row>
    <row r="16" spans="2:20" ht="24" customHeight="1" x14ac:dyDescent="0.2">
      <c r="B16" s="9">
        <f t="shared" ca="1" si="0"/>
        <v>4</v>
      </c>
      <c r="C16" s="10">
        <f t="shared" ca="1" si="1"/>
        <v>0.42361111111111105</v>
      </c>
      <c r="D16" s="10">
        <f t="shared" ca="1" si="3"/>
        <v>0.45833333333333326</v>
      </c>
      <c r="E16" s="11">
        <v>3.4722222222222224E-2</v>
      </c>
      <c r="F16" s="12">
        <f t="shared" ca="1" si="2"/>
        <v>4</v>
      </c>
      <c r="G16" s="31" t="s">
        <v>21</v>
      </c>
      <c r="H16" s="32"/>
      <c r="I16" s="32"/>
      <c r="J16" s="32"/>
      <c r="K16" s="33"/>
      <c r="L16" s="18"/>
      <c r="M16" s="12" t="s">
        <v>22</v>
      </c>
      <c r="N16" s="24"/>
      <c r="O16" s="17"/>
      <c r="P16" s="20"/>
      <c r="Q16" s="17"/>
      <c r="R16" s="17"/>
      <c r="S16" s="17"/>
      <c r="T16" s="17"/>
    </row>
    <row r="17" spans="2:20" ht="24" customHeight="1" x14ac:dyDescent="0.15">
      <c r="B17" s="9">
        <f t="shared" ca="1" si="0"/>
        <v>5</v>
      </c>
      <c r="C17" s="10">
        <f t="shared" ca="1" si="1"/>
        <v>0.45833333333333326</v>
      </c>
      <c r="D17" s="10">
        <f t="shared" ca="1" si="3"/>
        <v>0.49999999999999994</v>
      </c>
      <c r="E17" s="11">
        <v>4.1666666666666664E-2</v>
      </c>
      <c r="F17" s="12">
        <f ca="1">ROW()-ROW(OFFSET(F17,-1,))+IF(ISERROR(OFFSET(F17,-1,)*1),0,OFFSET(F17,-1,))</f>
        <v>5</v>
      </c>
      <c r="G17" s="31" t="s">
        <v>24</v>
      </c>
      <c r="H17" s="32"/>
      <c r="I17" s="32"/>
      <c r="J17" s="32"/>
      <c r="K17" s="33"/>
      <c r="L17" s="18"/>
      <c r="M17" s="12" t="s">
        <v>25</v>
      </c>
      <c r="N17" s="26"/>
      <c r="O17" s="17"/>
      <c r="P17" s="20"/>
      <c r="Q17" s="17"/>
      <c r="R17" s="17"/>
      <c r="S17" s="17"/>
      <c r="T17" s="17"/>
    </row>
    <row r="18" spans="2:20" ht="24" customHeight="1" x14ac:dyDescent="0.15">
      <c r="B18" s="9">
        <f t="shared" ca="1" si="0"/>
        <v>6</v>
      </c>
      <c r="C18" s="10">
        <f t="shared" ca="1" si="1"/>
        <v>0.49999999999999994</v>
      </c>
      <c r="D18" s="10">
        <f t="shared" ca="1" si="3"/>
        <v>0.54166666666666663</v>
      </c>
      <c r="E18" s="11">
        <v>4.1666666666666664E-2</v>
      </c>
      <c r="F18" s="12">
        <f t="shared" ca="1" si="2"/>
        <v>6</v>
      </c>
      <c r="G18" s="31" t="s">
        <v>26</v>
      </c>
      <c r="H18" s="32"/>
      <c r="I18" s="32"/>
      <c r="J18" s="32"/>
      <c r="K18" s="33"/>
      <c r="L18" s="18"/>
      <c r="M18" s="12"/>
      <c r="N18" s="26"/>
      <c r="O18" s="17"/>
      <c r="P18" s="20"/>
      <c r="Q18" s="17"/>
      <c r="R18" s="17"/>
      <c r="S18" s="17"/>
      <c r="T18" s="17"/>
    </row>
    <row r="19" spans="2:20" ht="24" customHeight="1" x14ac:dyDescent="0.15">
      <c r="B19" s="9">
        <f t="shared" ca="1" si="0"/>
        <v>7</v>
      </c>
      <c r="C19" s="10">
        <f t="shared" ca="1" si="1"/>
        <v>0.54166666666666663</v>
      </c>
      <c r="D19" s="10">
        <f t="shared" ca="1" si="3"/>
        <v>0.57638888888888884</v>
      </c>
      <c r="E19" s="11">
        <v>3.4722222222222224E-2</v>
      </c>
      <c r="F19" s="12">
        <f ca="1">ROW()-ROW(OFFSET(F19,-1,))+IF(ISERROR(OFFSET(F19,-1,)*1),0,OFFSET(F19,-1,))</f>
        <v>7</v>
      </c>
      <c r="G19" s="31" t="s">
        <v>27</v>
      </c>
      <c r="H19" s="32"/>
      <c r="I19" s="32"/>
      <c r="J19" s="32"/>
      <c r="K19" s="33"/>
      <c r="L19" s="18"/>
      <c r="M19" s="12" t="s">
        <v>28</v>
      </c>
      <c r="N19" s="27"/>
      <c r="O19" s="17"/>
      <c r="P19" s="20"/>
      <c r="Q19" s="17"/>
      <c r="R19" s="17"/>
      <c r="S19" s="17"/>
      <c r="T19" s="17"/>
    </row>
    <row r="20" spans="2:20" ht="24" customHeight="1" x14ac:dyDescent="0.15">
      <c r="B20" s="9">
        <f t="shared" ca="1" si="0"/>
        <v>8</v>
      </c>
      <c r="C20" s="10">
        <f t="shared" ca="1" si="1"/>
        <v>0.57638888888888884</v>
      </c>
      <c r="D20" s="10">
        <f t="shared" ca="1" si="3"/>
        <v>0.59027777777777768</v>
      </c>
      <c r="E20" s="11">
        <v>1.3888888888888888E-2</v>
      </c>
      <c r="F20" s="12">
        <f t="shared" ca="1" si="2"/>
        <v>8</v>
      </c>
      <c r="G20" s="31" t="s">
        <v>29</v>
      </c>
      <c r="H20" s="32"/>
      <c r="I20" s="32"/>
      <c r="J20" s="32"/>
      <c r="K20" s="33"/>
      <c r="L20" s="18"/>
      <c r="M20" s="12" t="s">
        <v>31</v>
      </c>
      <c r="N20" s="17"/>
      <c r="O20" s="17"/>
      <c r="P20" s="20"/>
      <c r="Q20" s="17"/>
      <c r="R20" s="17"/>
      <c r="S20" s="17"/>
      <c r="T20" s="17"/>
    </row>
    <row r="21" spans="2:20" ht="24" customHeight="1" x14ac:dyDescent="0.15">
      <c r="B21" s="9">
        <f t="shared" ca="1" si="0"/>
        <v>9</v>
      </c>
      <c r="C21" s="10">
        <f t="shared" ca="1" si="1"/>
        <v>0.59027777777777768</v>
      </c>
      <c r="D21" s="10">
        <f t="shared" ca="1" si="3"/>
        <v>0.60763888888888884</v>
      </c>
      <c r="E21" s="11">
        <v>1.7361111111111112E-2</v>
      </c>
      <c r="F21" s="12">
        <f t="shared" ca="1" si="2"/>
        <v>9</v>
      </c>
      <c r="G21" s="31" t="s">
        <v>30</v>
      </c>
      <c r="H21" s="32"/>
      <c r="I21" s="32"/>
      <c r="J21" s="32"/>
      <c r="K21" s="33"/>
      <c r="L21" s="18"/>
      <c r="M21" s="12" t="s">
        <v>32</v>
      </c>
      <c r="N21" s="27"/>
      <c r="O21" s="20"/>
      <c r="P21" s="20"/>
      <c r="Q21" s="17"/>
      <c r="R21" s="17"/>
      <c r="S21" s="17"/>
      <c r="T21" s="17"/>
    </row>
    <row r="22" spans="2:20" ht="24" customHeight="1" x14ac:dyDescent="0.15">
      <c r="B22" s="9">
        <f t="shared" ca="1" si="0"/>
        <v>10</v>
      </c>
      <c r="C22" s="10">
        <f t="shared" ca="1" si="1"/>
        <v>0.60763888888888884</v>
      </c>
      <c r="D22" s="10">
        <f t="shared" ca="1" si="3"/>
        <v>0.62152777777777768</v>
      </c>
      <c r="E22" s="11">
        <v>1.3888888888888888E-2</v>
      </c>
      <c r="F22" s="12">
        <f t="shared" ca="1" si="2"/>
        <v>10</v>
      </c>
      <c r="G22" s="31" t="s">
        <v>33</v>
      </c>
      <c r="H22" s="32"/>
      <c r="I22" s="32"/>
      <c r="J22" s="32"/>
      <c r="K22" s="33"/>
      <c r="L22" s="18"/>
      <c r="M22" s="12" t="s">
        <v>28</v>
      </c>
      <c r="N22" s="27"/>
      <c r="O22" s="17"/>
      <c r="P22" s="20"/>
      <c r="Q22" s="17"/>
      <c r="R22" s="17"/>
      <c r="S22" s="17"/>
      <c r="T22" s="17"/>
    </row>
    <row r="23" spans="2:20" ht="24" customHeight="1" x14ac:dyDescent="0.15">
      <c r="B23" s="9">
        <f t="shared" ca="1" si="0"/>
        <v>11</v>
      </c>
      <c r="C23" s="10">
        <f t="shared" ca="1" si="1"/>
        <v>0.62152777777777768</v>
      </c>
      <c r="D23" s="10">
        <f t="shared" ca="1" si="3"/>
        <v>0.63194444444444431</v>
      </c>
      <c r="E23" s="11">
        <v>1.0416666666666666E-2</v>
      </c>
      <c r="F23" s="12">
        <f t="shared" ca="1" si="2"/>
        <v>11</v>
      </c>
      <c r="G23" s="31" t="s">
        <v>9</v>
      </c>
      <c r="H23" s="32"/>
      <c r="I23" s="32"/>
      <c r="J23" s="32"/>
      <c r="K23" s="33"/>
      <c r="L23" s="18"/>
      <c r="M23" s="12"/>
      <c r="N23" s="26"/>
      <c r="O23" s="17"/>
      <c r="P23" s="20"/>
      <c r="Q23" s="17"/>
      <c r="R23" s="17"/>
      <c r="S23" s="17"/>
      <c r="T23" s="17"/>
    </row>
    <row r="24" spans="2:20" ht="24" customHeight="1" x14ac:dyDescent="0.15">
      <c r="B24" s="9">
        <f t="shared" ca="1" si="0"/>
        <v>12</v>
      </c>
      <c r="C24" s="10">
        <f t="shared" ca="1" si="1"/>
        <v>0.63194444444444431</v>
      </c>
      <c r="D24" s="10">
        <f t="shared" ca="1" si="3"/>
        <v>0.66666666666666652</v>
      </c>
      <c r="E24" s="11">
        <v>3.4722222222222224E-2</v>
      </c>
      <c r="F24" s="12">
        <f t="shared" ref="F24:F26" ca="1" si="4">ROW()-ROW(OFFSET(F24,-1,))+IF(ISERROR(OFFSET(F24,-1,)*1),0,OFFSET(F24,-1,))</f>
        <v>12</v>
      </c>
      <c r="G24" s="31" t="s">
        <v>34</v>
      </c>
      <c r="H24" s="32"/>
      <c r="I24" s="32"/>
      <c r="J24" s="32"/>
      <c r="K24" s="33"/>
      <c r="L24" s="18"/>
      <c r="M24" s="12" t="s">
        <v>35</v>
      </c>
      <c r="N24" s="26"/>
      <c r="O24" s="17"/>
      <c r="P24" s="20"/>
      <c r="Q24" s="17"/>
      <c r="R24" s="17"/>
      <c r="S24" s="17"/>
      <c r="T24" s="17"/>
    </row>
    <row r="25" spans="2:20" ht="24" customHeight="1" x14ac:dyDescent="0.15">
      <c r="B25" s="9">
        <f t="shared" ca="1" si="0"/>
        <v>13</v>
      </c>
      <c r="C25" s="10">
        <f t="shared" ca="1" si="1"/>
        <v>0.66666666666666652</v>
      </c>
      <c r="D25" s="10">
        <f t="shared" ca="1" si="3"/>
        <v>0.69444444444444431</v>
      </c>
      <c r="E25" s="11">
        <v>2.7777777777777776E-2</v>
      </c>
      <c r="F25" s="12">
        <f t="shared" ca="1" si="4"/>
        <v>13</v>
      </c>
      <c r="G25" s="31" t="s">
        <v>36</v>
      </c>
      <c r="H25" s="32"/>
      <c r="I25" s="32"/>
      <c r="J25" s="32"/>
      <c r="K25" s="33"/>
      <c r="L25" s="18"/>
      <c r="M25" s="12" t="s">
        <v>37</v>
      </c>
      <c r="N25" s="27"/>
      <c r="O25" s="17"/>
      <c r="P25" s="20"/>
      <c r="Q25" s="17"/>
      <c r="R25" s="17"/>
      <c r="S25" s="17"/>
      <c r="T25" s="17"/>
    </row>
    <row r="26" spans="2:20" ht="24" customHeight="1" x14ac:dyDescent="0.15">
      <c r="B26" s="9">
        <f t="shared" ref="B26" ca="1" si="5">F26</f>
        <v>14</v>
      </c>
      <c r="C26" s="10">
        <f t="shared" ref="C26" ca="1" si="6">IF(E26="Select","",IF(AND(F26=1,E26&lt;&gt;"Select"),$K$3,OFFSET(C26,-1,1)))</f>
        <v>0.69444444444444431</v>
      </c>
      <c r="D26" s="10">
        <f t="shared" ref="D26" ca="1" si="7">IF(ISERROR(E26+C26),"",E26+C26)</f>
        <v>0.70833333333333315</v>
      </c>
      <c r="E26" s="11">
        <v>1.3888888888888888E-2</v>
      </c>
      <c r="F26" s="12">
        <f t="shared" ca="1" si="4"/>
        <v>14</v>
      </c>
      <c r="G26" s="31" t="s">
        <v>38</v>
      </c>
      <c r="H26" s="32"/>
      <c r="I26" s="32"/>
      <c r="J26" s="32"/>
      <c r="K26" s="33"/>
      <c r="L26" s="18"/>
      <c r="M26" s="12"/>
      <c r="N26" s="27"/>
      <c r="O26" s="17"/>
      <c r="P26" s="20"/>
      <c r="Q26" s="17"/>
      <c r="R26" s="17"/>
      <c r="S26" s="17"/>
      <c r="T26" s="17"/>
    </row>
    <row r="27" spans="2:20" ht="22.5" customHeight="1" x14ac:dyDescent="0.15">
      <c r="E27" s="13">
        <f>SUM(E13:E26)</f>
        <v>0.33333333333333337</v>
      </c>
    </row>
    <row r="30" spans="2:20" ht="16" x14ac:dyDescent="0.2">
      <c r="B30" s="8" t="s">
        <v>10</v>
      </c>
    </row>
    <row r="33" spans="3:3" ht="16" x14ac:dyDescent="0.2">
      <c r="C33" s="23"/>
    </row>
    <row r="34" spans="3:3" ht="16" x14ac:dyDescent="0.2">
      <c r="C34" s="24"/>
    </row>
    <row r="35" spans="3:3" ht="15" x14ac:dyDescent="0.2">
      <c r="C35" s="25"/>
    </row>
  </sheetData>
  <mergeCells count="17">
    <mergeCell ref="F2:I2"/>
    <mergeCell ref="F3:I3"/>
    <mergeCell ref="F12:K12"/>
    <mergeCell ref="G13:K13"/>
    <mergeCell ref="G19:K19"/>
    <mergeCell ref="G14:K14"/>
    <mergeCell ref="G15:K15"/>
    <mergeCell ref="G18:K18"/>
    <mergeCell ref="G17:K17"/>
    <mergeCell ref="G16:K16"/>
    <mergeCell ref="G20:K20"/>
    <mergeCell ref="G23:K23"/>
    <mergeCell ref="G21:K21"/>
    <mergeCell ref="G26:K26"/>
    <mergeCell ref="G25:K25"/>
    <mergeCell ref="G22:K22"/>
    <mergeCell ref="G24:K24"/>
  </mergeCells>
  <phoneticPr fontId="12" type="noConversion"/>
  <conditionalFormatting sqref="E27">
    <cfRule type="expression" dxfId="3" priority="2" stopIfTrue="1">
      <formula>#REF!&lt;&gt;#REF!</formula>
    </cfRule>
  </conditionalFormatting>
  <dataValidations count="2">
    <dataValidation allowBlank="1" showInputMessage="1" showErrorMessage="1" prompt="Enter time as H:MM:SS (update AM/PM as necessary)." sqref="K3:L11" xr:uid="{00000000-0002-0000-0000-000000000000}"/>
    <dataValidation type="list" allowBlank="1" showInputMessage="1" showErrorMessage="1" sqref="E13:E26" xr:uid="{00000000-0002-0000-0000-000001000000}">
      <formula1>"0:00, 0:05, 0:10, 0:15, 0:20, 0:25, 0:30, 0:35, 0:40, 0:45, 0:50, 0:55, 1:00, 1:15, 1:30"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DD47-B950-4464-B34E-4E183D066E44}">
  <sheetPr>
    <pageSetUpPr fitToPage="1"/>
  </sheetPr>
  <dimension ref="B1:T38"/>
  <sheetViews>
    <sheetView topLeftCell="B9" zoomScale="130" zoomScaleNormal="130" zoomScalePageLayoutView="150" workbookViewId="0">
      <selection activeCell="B30" sqref="A30:XFD30"/>
    </sheetView>
  </sheetViews>
  <sheetFormatPr baseColWidth="10" defaultColWidth="12" defaultRowHeight="12" x14ac:dyDescent="0.15"/>
  <cols>
    <col min="1" max="1" width="0" hidden="1" customWidth="1"/>
    <col min="2" max="2" width="5.3984375" customWidth="1"/>
    <col min="3" max="4" width="11.59765625" customWidth="1"/>
    <col min="5" max="5" width="12.19921875" customWidth="1"/>
    <col min="6" max="6" width="4.59765625" customWidth="1"/>
    <col min="7" max="8" width="11.3984375" customWidth="1"/>
    <col min="9" max="9" width="2.3984375" customWidth="1"/>
    <col min="10" max="10" width="11.3984375" customWidth="1"/>
    <col min="11" max="11" width="26" customWidth="1"/>
    <col min="12" max="12" width="15.19921875" customWidth="1"/>
    <col min="13" max="13" width="39.3984375" bestFit="1" customWidth="1"/>
    <col min="14" max="251" width="9.3984375" customWidth="1"/>
  </cols>
  <sheetData>
    <row r="1" spans="2:20" ht="15" hidden="1" x14ac:dyDescent="0.2">
      <c r="G1" s="6" t="s">
        <v>0</v>
      </c>
      <c r="H1" s="7"/>
      <c r="I1" s="7"/>
      <c r="J1" s="7"/>
      <c r="K1" s="7"/>
      <c r="L1" s="7"/>
      <c r="M1" s="7"/>
    </row>
    <row r="2" spans="2:20" ht="12" hidden="1" customHeight="1" x14ac:dyDescent="0.15">
      <c r="F2" s="34"/>
      <c r="G2" s="34"/>
      <c r="H2" s="34"/>
      <c r="I2" s="34"/>
      <c r="J2" s="19"/>
      <c r="K2" s="19" t="s">
        <v>1</v>
      </c>
      <c r="L2" s="19" t="s">
        <v>2</v>
      </c>
      <c r="M2" s="19"/>
    </row>
    <row r="3" spans="2:20" ht="12" hidden="1" customHeight="1" x14ac:dyDescent="0.15">
      <c r="F3" s="35"/>
      <c r="G3" s="35"/>
      <c r="H3" s="35"/>
      <c r="I3" s="35"/>
      <c r="J3" s="2"/>
      <c r="K3" s="3">
        <v>0.375</v>
      </c>
      <c r="L3" s="3">
        <v>0.70833333333333337</v>
      </c>
      <c r="M3" s="21"/>
    </row>
    <row r="4" spans="2:20" hidden="1" x14ac:dyDescent="0.15">
      <c r="F4" s="1"/>
      <c r="G4" s="1"/>
      <c r="H4" s="1"/>
      <c r="I4" s="1"/>
      <c r="J4" s="2"/>
      <c r="K4" s="3"/>
      <c r="L4" s="3"/>
      <c r="M4" s="4"/>
    </row>
    <row r="5" spans="2:20" hidden="1" x14ac:dyDescent="0.15">
      <c r="F5" s="1"/>
      <c r="G5" s="1"/>
      <c r="H5" s="1"/>
      <c r="I5" s="1"/>
      <c r="J5" s="2"/>
      <c r="K5" s="3"/>
      <c r="L5" s="3"/>
      <c r="M5" s="4"/>
    </row>
    <row r="6" spans="2:20" hidden="1" x14ac:dyDescent="0.15">
      <c r="F6" s="1"/>
      <c r="G6" s="1"/>
      <c r="H6" s="1"/>
      <c r="I6" s="1"/>
      <c r="J6" s="2"/>
      <c r="K6" s="3"/>
      <c r="L6" s="3"/>
      <c r="M6" s="4"/>
    </row>
    <row r="7" spans="2:20" hidden="1" x14ac:dyDescent="0.15">
      <c r="F7" s="1"/>
      <c r="G7" s="1"/>
      <c r="H7" s="1"/>
      <c r="I7" s="1"/>
      <c r="J7" s="2"/>
      <c r="K7" s="3"/>
      <c r="L7" s="3"/>
      <c r="M7" s="4"/>
    </row>
    <row r="8" spans="2:20" hidden="1" x14ac:dyDescent="0.15">
      <c r="F8" s="1"/>
      <c r="G8" s="1"/>
      <c r="H8" s="1"/>
      <c r="I8" s="1"/>
      <c r="J8" s="2"/>
      <c r="K8" s="3"/>
      <c r="L8" s="3"/>
      <c r="M8" s="4"/>
    </row>
    <row r="9" spans="2:20" ht="20" x14ac:dyDescent="0.2">
      <c r="B9" s="5" t="s">
        <v>13</v>
      </c>
      <c r="F9" s="1"/>
      <c r="G9" s="1"/>
      <c r="H9" s="1"/>
      <c r="I9" s="1"/>
      <c r="J9" s="2"/>
      <c r="K9" s="3"/>
      <c r="L9" s="3"/>
      <c r="M9" s="4"/>
    </row>
    <row r="10" spans="2:20" hidden="1" x14ac:dyDescent="0.15">
      <c r="F10" s="1"/>
      <c r="G10" s="1"/>
      <c r="H10" s="1"/>
      <c r="I10" s="1"/>
      <c r="J10" s="2"/>
      <c r="K10" s="3"/>
      <c r="L10" s="3"/>
      <c r="M10" s="4"/>
    </row>
    <row r="11" spans="2:20" ht="13" thickBot="1" x14ac:dyDescent="0.2">
      <c r="F11" s="1"/>
      <c r="G11" s="1"/>
      <c r="H11" s="1"/>
      <c r="I11" s="1"/>
      <c r="J11" s="2"/>
      <c r="K11" s="3"/>
      <c r="L11" s="3"/>
      <c r="M11" s="4"/>
    </row>
    <row r="12" spans="2:20" s="16" customFormat="1" ht="21.75" customHeight="1" x14ac:dyDescent="0.15">
      <c r="B12" s="14"/>
      <c r="C12" s="14" t="s">
        <v>1</v>
      </c>
      <c r="D12" s="14" t="s">
        <v>4</v>
      </c>
      <c r="E12" s="14" t="s">
        <v>3</v>
      </c>
      <c r="F12" s="36" t="s">
        <v>5</v>
      </c>
      <c r="G12" s="37"/>
      <c r="H12" s="37"/>
      <c r="I12" s="37"/>
      <c r="J12" s="37"/>
      <c r="K12" s="38"/>
      <c r="L12" s="22" t="s">
        <v>6</v>
      </c>
      <c r="M12" s="15" t="s">
        <v>7</v>
      </c>
    </row>
    <row r="13" spans="2:20" ht="24" customHeight="1" x14ac:dyDescent="0.2">
      <c r="B13" s="9">
        <f t="shared" ref="B13:B26" ca="1" si="0">F13</f>
        <v>1</v>
      </c>
      <c r="C13" s="10">
        <f ca="1">IF(E13="Select","",IF(AND(F13=1,E13&lt;&gt;"Select"),$K$3,OFFSET(C13,-1,1)))</f>
        <v>0.375</v>
      </c>
      <c r="D13" s="10">
        <f t="shared" ref="D13:D26" ca="1" si="1">IF(ISERROR(E13+C13),"",E13+C13)</f>
        <v>0.39583333333333331</v>
      </c>
      <c r="E13" s="11">
        <v>2.0833333333333332E-2</v>
      </c>
      <c r="F13" s="12">
        <f t="shared" ref="F13:F25" ca="1" si="2">ROW()-ROW(OFFSET(F13,-1,))+IF(ISERROR(OFFSET(F13,-1,)*1),0,OFFSET(F13,-1,))</f>
        <v>1</v>
      </c>
      <c r="G13" s="31" t="s">
        <v>16</v>
      </c>
      <c r="H13" s="32"/>
      <c r="I13" s="32"/>
      <c r="J13" s="32"/>
      <c r="K13" s="33"/>
      <c r="L13" s="18"/>
      <c r="M13" s="12"/>
      <c r="N13" s="24"/>
      <c r="O13" s="26"/>
      <c r="P13" s="28"/>
      <c r="Q13" s="17"/>
      <c r="R13" s="17"/>
      <c r="S13" s="17"/>
      <c r="T13" s="17"/>
    </row>
    <row r="14" spans="2:20" ht="24" customHeight="1" x14ac:dyDescent="0.2">
      <c r="B14" s="9">
        <f t="shared" ca="1" si="0"/>
        <v>2</v>
      </c>
      <c r="C14" s="10">
        <f ca="1">IF(E14="Select","",IF(AND(F14=1,E14&lt;&gt;"Select"),'Day1'!$K$3,OFFSET(C14,-1,1)))</f>
        <v>0.39583333333333331</v>
      </c>
      <c r="D14" s="10">
        <f t="shared" ca="1" si="1"/>
        <v>0.40972222222222221</v>
      </c>
      <c r="E14" s="11">
        <v>1.3888888888888888E-2</v>
      </c>
      <c r="F14" s="12">
        <f ca="1">ROW()-ROW(OFFSET(F14,-1,))+IF(ISERROR(OFFSET(F14,-1,)*1),0,OFFSET(F14,-1,))</f>
        <v>2</v>
      </c>
      <c r="G14" s="31" t="s">
        <v>39</v>
      </c>
      <c r="H14" s="32"/>
      <c r="I14" s="32"/>
      <c r="J14" s="32"/>
      <c r="K14" s="33"/>
      <c r="L14" s="18"/>
      <c r="M14" s="12" t="s">
        <v>40</v>
      </c>
      <c r="N14" s="24"/>
      <c r="O14" s="17"/>
      <c r="P14" s="17"/>
      <c r="Q14" s="17"/>
      <c r="R14" s="17"/>
      <c r="S14" s="17"/>
      <c r="T14" s="17"/>
    </row>
    <row r="15" spans="2:20" ht="24" customHeight="1" x14ac:dyDescent="0.15">
      <c r="B15" s="9">
        <f t="shared" ca="1" si="0"/>
        <v>3</v>
      </c>
      <c r="C15" s="10">
        <f ca="1">IF(E15="Select","",IF(AND(F15=1,E15&lt;&gt;"Select"),'Day1'!$K$3,OFFSET(C15,-1,1)))</f>
        <v>0.40972222222222221</v>
      </c>
      <c r="D15" s="10">
        <f t="shared" ca="1" si="1"/>
        <v>0.4513888888888889</v>
      </c>
      <c r="E15" s="11">
        <v>4.1666666666666664E-2</v>
      </c>
      <c r="F15" s="12">
        <f ca="1">ROW()-ROW(OFFSET(F15,-1,))+IF(ISERROR(OFFSET(F15,-1,)*1),0,OFFSET(F15,-1,))</f>
        <v>3</v>
      </c>
      <c r="G15" s="31" t="s">
        <v>41</v>
      </c>
      <c r="H15" s="32"/>
      <c r="I15" s="32"/>
      <c r="J15" s="32"/>
      <c r="K15" s="33"/>
      <c r="L15" s="18"/>
      <c r="M15" s="12" t="s">
        <v>42</v>
      </c>
      <c r="N15" s="26"/>
      <c r="O15" s="17"/>
      <c r="P15" s="17"/>
      <c r="Q15" s="17"/>
      <c r="R15" s="17"/>
      <c r="S15" s="17"/>
      <c r="T15" s="17"/>
    </row>
    <row r="16" spans="2:20" ht="24" customHeight="1" x14ac:dyDescent="0.15">
      <c r="B16" s="9">
        <f t="shared" ca="1" si="0"/>
        <v>4</v>
      </c>
      <c r="C16" s="10">
        <f t="shared" ref="C16:C26" ca="1" si="3">IF(E16="Select","",IF(AND(F16=1,E16&lt;&gt;"Select"),$K$3,OFFSET(C16,-1,1)))</f>
        <v>0.4513888888888889</v>
      </c>
      <c r="D16" s="10">
        <f t="shared" ca="1" si="1"/>
        <v>0.45833333333333331</v>
      </c>
      <c r="E16" s="11">
        <v>6.9444444444444441E-3</v>
      </c>
      <c r="F16" s="12">
        <f ca="1">ROW()-ROW(OFFSET(F16,-1,))+IF(ISERROR(OFFSET(F16,-1,)*1),0,OFFSET(F16,-1,))</f>
        <v>4</v>
      </c>
      <c r="G16" s="31" t="s">
        <v>9</v>
      </c>
      <c r="H16" s="32"/>
      <c r="I16" s="32"/>
      <c r="J16" s="32"/>
      <c r="K16" s="33"/>
      <c r="L16" s="18"/>
      <c r="M16" s="12"/>
      <c r="N16" s="17"/>
      <c r="O16" s="17"/>
      <c r="P16" s="17"/>
      <c r="Q16" s="17"/>
      <c r="R16" s="17"/>
      <c r="S16" s="17"/>
      <c r="T16" s="17"/>
    </row>
    <row r="17" spans="2:20" ht="24" customHeight="1" x14ac:dyDescent="0.15">
      <c r="B17" s="9">
        <f t="shared" ca="1" si="0"/>
        <v>5</v>
      </c>
      <c r="C17" s="10">
        <f t="shared" ca="1" si="3"/>
        <v>0.45833333333333331</v>
      </c>
      <c r="D17" s="10">
        <f t="shared" ca="1" si="1"/>
        <v>0.46527777777777773</v>
      </c>
      <c r="E17" s="11">
        <v>6.9444444444444441E-3</v>
      </c>
      <c r="F17" s="12">
        <f t="shared" ca="1" si="2"/>
        <v>5</v>
      </c>
      <c r="G17" s="31" t="s">
        <v>43</v>
      </c>
      <c r="H17" s="32"/>
      <c r="I17" s="32"/>
      <c r="J17" s="32"/>
      <c r="K17" s="33"/>
      <c r="L17" s="18"/>
      <c r="M17" s="12"/>
      <c r="N17" s="26"/>
      <c r="O17" s="17"/>
      <c r="P17" s="17"/>
      <c r="Q17" s="17"/>
      <c r="R17" s="17"/>
      <c r="S17" s="17"/>
      <c r="T17" s="17"/>
    </row>
    <row r="18" spans="2:20" ht="24" customHeight="1" x14ac:dyDescent="0.15">
      <c r="B18" s="9">
        <f t="shared" ca="1" si="0"/>
        <v>6</v>
      </c>
      <c r="C18" s="10">
        <f t="shared" ca="1" si="3"/>
        <v>0.46527777777777773</v>
      </c>
      <c r="D18" s="10">
        <f t="shared" ca="1" si="1"/>
        <v>0.47916666666666663</v>
      </c>
      <c r="E18" s="11">
        <v>1.3888888888888888E-2</v>
      </c>
      <c r="F18" s="12">
        <f t="shared" ca="1" si="2"/>
        <v>6</v>
      </c>
      <c r="G18" s="31" t="s">
        <v>44</v>
      </c>
      <c r="H18" s="32"/>
      <c r="I18" s="32"/>
      <c r="J18" s="32"/>
      <c r="K18" s="33"/>
      <c r="L18" s="18"/>
      <c r="M18" s="12" t="s">
        <v>45</v>
      </c>
      <c r="N18" s="26"/>
      <c r="O18" s="17"/>
      <c r="P18" s="17"/>
      <c r="Q18" s="17"/>
      <c r="R18" s="17"/>
      <c r="S18" s="17"/>
      <c r="T18" s="17"/>
    </row>
    <row r="19" spans="2:20" ht="24" customHeight="1" x14ac:dyDescent="0.15">
      <c r="B19" s="9">
        <f t="shared" ca="1" si="0"/>
        <v>7</v>
      </c>
      <c r="C19" s="10">
        <f t="shared" ca="1" si="3"/>
        <v>0.47916666666666663</v>
      </c>
      <c r="D19" s="10">
        <f t="shared" ca="1" si="1"/>
        <v>0.49999999999999994</v>
      </c>
      <c r="E19" s="11">
        <v>2.0833333333333332E-2</v>
      </c>
      <c r="F19" s="12">
        <f t="shared" ca="1" si="2"/>
        <v>7</v>
      </c>
      <c r="G19" s="31" t="s">
        <v>46</v>
      </c>
      <c r="H19" s="32"/>
      <c r="I19" s="32"/>
      <c r="J19" s="32"/>
      <c r="K19" s="33"/>
      <c r="L19" s="18"/>
      <c r="M19" s="12" t="s">
        <v>47</v>
      </c>
      <c r="N19" s="26"/>
      <c r="O19" s="17"/>
      <c r="P19" s="17"/>
      <c r="Q19" s="17"/>
      <c r="R19" s="17"/>
      <c r="S19" s="17"/>
      <c r="T19" s="17"/>
    </row>
    <row r="20" spans="2:20" ht="24" customHeight="1" x14ac:dyDescent="0.2">
      <c r="B20" s="9">
        <f t="shared" ca="1" si="0"/>
        <v>8</v>
      </c>
      <c r="C20" s="10">
        <f t="shared" ca="1" si="3"/>
        <v>0.49999999999999994</v>
      </c>
      <c r="D20" s="10">
        <f t="shared" ca="1" si="1"/>
        <v>0.54166666666666663</v>
      </c>
      <c r="E20" s="11">
        <v>4.1666666666666664E-2</v>
      </c>
      <c r="F20" s="12">
        <f ca="1">ROW()-ROW(OFFSET(F20,-1,))+IF(ISERROR(OFFSET(F20,-1,)*1),0,OFFSET(F20,-1,))</f>
        <v>8</v>
      </c>
      <c r="G20" s="31" t="s">
        <v>26</v>
      </c>
      <c r="H20" s="32"/>
      <c r="I20" s="32"/>
      <c r="J20" s="32"/>
      <c r="K20" s="33"/>
      <c r="L20" s="18"/>
      <c r="M20" s="12"/>
      <c r="N20" s="28"/>
      <c r="O20" s="17"/>
      <c r="P20" s="17"/>
      <c r="Q20" s="17"/>
      <c r="R20" s="17"/>
      <c r="S20" s="17"/>
      <c r="T20" s="17"/>
    </row>
    <row r="21" spans="2:20" ht="24" customHeight="1" x14ac:dyDescent="0.2">
      <c r="B21" s="9">
        <f t="shared" ca="1" si="0"/>
        <v>9</v>
      </c>
      <c r="C21" s="10">
        <f t="shared" ca="1" si="3"/>
        <v>0.54166666666666663</v>
      </c>
      <c r="D21" s="10">
        <f t="shared" ca="1" si="1"/>
        <v>0.55555555555555547</v>
      </c>
      <c r="E21" s="11">
        <v>1.3888888888888888E-2</v>
      </c>
      <c r="F21" s="12">
        <f t="shared" ca="1" si="2"/>
        <v>9</v>
      </c>
      <c r="G21" s="31" t="s">
        <v>48</v>
      </c>
      <c r="H21" s="32"/>
      <c r="I21" s="32"/>
      <c r="J21" s="32"/>
      <c r="K21" s="33"/>
      <c r="L21" s="18"/>
      <c r="M21" s="12" t="s">
        <v>49</v>
      </c>
      <c r="N21" s="28"/>
      <c r="O21" s="17"/>
      <c r="P21" s="17"/>
      <c r="Q21" s="17"/>
      <c r="R21" s="17"/>
      <c r="S21" s="17"/>
      <c r="T21" s="17"/>
    </row>
    <row r="22" spans="2:20" ht="24" customHeight="1" x14ac:dyDescent="0.2">
      <c r="B22" s="9">
        <f t="shared" ca="1" si="0"/>
        <v>10</v>
      </c>
      <c r="C22" s="10">
        <f t="shared" ca="1" si="3"/>
        <v>0.55555555555555547</v>
      </c>
      <c r="D22" s="10">
        <f t="shared" ca="1" si="1"/>
        <v>0.58333333333333326</v>
      </c>
      <c r="E22" s="11">
        <v>2.7777777777777776E-2</v>
      </c>
      <c r="F22" s="12">
        <f t="shared" ca="1" si="2"/>
        <v>10</v>
      </c>
      <c r="G22" s="31" t="s">
        <v>50</v>
      </c>
      <c r="H22" s="32"/>
      <c r="I22" s="32"/>
      <c r="J22" s="32"/>
      <c r="K22" s="33"/>
      <c r="L22" s="18"/>
      <c r="M22" s="12" t="s">
        <v>51</v>
      </c>
      <c r="N22" s="28"/>
      <c r="O22" s="17"/>
      <c r="P22" s="17"/>
      <c r="Q22" s="17"/>
      <c r="R22" s="17"/>
      <c r="S22" s="17"/>
      <c r="T22" s="17"/>
    </row>
    <row r="23" spans="2:20" ht="24" customHeight="1" x14ac:dyDescent="0.15">
      <c r="B23" s="9">
        <f t="shared" ca="1" si="0"/>
        <v>11</v>
      </c>
      <c r="C23" s="10">
        <f t="shared" ca="1" si="3"/>
        <v>0.58333333333333326</v>
      </c>
      <c r="D23" s="10">
        <f t="shared" ca="1" si="1"/>
        <v>0.60069444444444442</v>
      </c>
      <c r="E23" s="11">
        <v>1.7361111111111112E-2</v>
      </c>
      <c r="F23" s="12">
        <f t="shared" ca="1" si="2"/>
        <v>11</v>
      </c>
      <c r="G23" s="31" t="s">
        <v>52</v>
      </c>
      <c r="H23" s="32"/>
      <c r="I23" s="32"/>
      <c r="J23" s="32"/>
      <c r="K23" s="33"/>
      <c r="L23" s="18"/>
      <c r="M23" s="12" t="s">
        <v>53</v>
      </c>
      <c r="N23" s="27"/>
      <c r="O23" s="20"/>
      <c r="P23" s="20"/>
      <c r="Q23" s="17"/>
      <c r="R23" s="17"/>
      <c r="S23" s="17"/>
      <c r="T23" s="17"/>
    </row>
    <row r="24" spans="2:20" ht="24" customHeight="1" x14ac:dyDescent="0.15">
      <c r="B24" s="9">
        <f t="shared" ca="1" si="0"/>
        <v>12</v>
      </c>
      <c r="C24" s="10">
        <f t="shared" ca="1" si="3"/>
        <v>0.60069444444444442</v>
      </c>
      <c r="D24" s="10">
        <f t="shared" ca="1" si="1"/>
        <v>0.61111111111111105</v>
      </c>
      <c r="E24" s="11">
        <v>1.0416666666666666E-2</v>
      </c>
      <c r="F24" s="12">
        <f t="shared" ca="1" si="2"/>
        <v>12</v>
      </c>
      <c r="G24" s="31" t="s">
        <v>9</v>
      </c>
      <c r="H24" s="32"/>
      <c r="I24" s="32"/>
      <c r="J24" s="32"/>
      <c r="K24" s="33"/>
      <c r="L24" s="18"/>
      <c r="M24" s="12"/>
      <c r="N24" s="27"/>
      <c r="O24" s="17"/>
      <c r="P24" s="17"/>
      <c r="Q24" s="17"/>
      <c r="R24" s="17"/>
      <c r="S24" s="17"/>
      <c r="T24" s="17"/>
    </row>
    <row r="25" spans="2:20" ht="24" customHeight="1" x14ac:dyDescent="0.15">
      <c r="B25" s="9">
        <f t="shared" ca="1" si="0"/>
        <v>13</v>
      </c>
      <c r="C25" s="10">
        <f t="shared" ca="1" si="3"/>
        <v>0.61111111111111105</v>
      </c>
      <c r="D25" s="10">
        <f t="shared" ca="1" si="1"/>
        <v>0.63888888888888884</v>
      </c>
      <c r="E25" s="11">
        <v>2.7777777777777776E-2</v>
      </c>
      <c r="F25" s="12">
        <f t="shared" ca="1" si="2"/>
        <v>13</v>
      </c>
      <c r="G25" s="31" t="s">
        <v>54</v>
      </c>
      <c r="H25" s="32"/>
      <c r="I25" s="32"/>
      <c r="J25" s="32"/>
      <c r="K25" s="33"/>
      <c r="L25" s="18"/>
      <c r="M25" s="12" t="s">
        <v>55</v>
      </c>
      <c r="N25" s="27"/>
      <c r="O25" s="17"/>
      <c r="P25" s="17"/>
      <c r="Q25" s="17"/>
      <c r="R25" s="17"/>
      <c r="S25" s="17"/>
      <c r="T25" s="17"/>
    </row>
    <row r="26" spans="2:20" ht="24" customHeight="1" x14ac:dyDescent="0.15">
      <c r="B26" s="9">
        <f t="shared" ca="1" si="0"/>
        <v>14</v>
      </c>
      <c r="C26" s="10">
        <f t="shared" ca="1" si="3"/>
        <v>0.63888888888888884</v>
      </c>
      <c r="D26" s="10">
        <f t="shared" ca="1" si="1"/>
        <v>0.65277777777777768</v>
      </c>
      <c r="E26" s="11">
        <v>1.3888888888888888E-2</v>
      </c>
      <c r="F26" s="12">
        <f ca="1">ROW()-ROW(OFFSET(F26,-1,))+IF(ISERROR(OFFSET(F26,-1,)*1),0,OFFSET(F26,-1,))</f>
        <v>14</v>
      </c>
      <c r="G26" s="31" t="s">
        <v>56</v>
      </c>
      <c r="H26" s="32"/>
      <c r="I26" s="32"/>
      <c r="J26" s="32"/>
      <c r="K26" s="33"/>
      <c r="L26" s="18"/>
      <c r="M26" s="12" t="s">
        <v>57</v>
      </c>
      <c r="N26" s="27"/>
      <c r="O26" s="17"/>
      <c r="P26" s="17"/>
      <c r="Q26" s="17"/>
      <c r="R26" s="17"/>
      <c r="S26" s="17"/>
      <c r="T26" s="17"/>
    </row>
    <row r="27" spans="2:20" ht="24" customHeight="1" x14ac:dyDescent="0.15">
      <c r="B27" s="9">
        <f t="shared" ref="B27" ca="1" si="4">F27</f>
        <v>15</v>
      </c>
      <c r="C27" s="10">
        <f t="shared" ref="C27" ca="1" si="5">IF(E27="Select","",IF(AND(F27=1,E27&lt;&gt;"Select"),$K$3,OFFSET(C27,-1,1)))</f>
        <v>0.65277777777777768</v>
      </c>
      <c r="D27" s="10">
        <f t="shared" ref="D27" ca="1" si="6">IF(ISERROR(E27+C27),"",E27+C27)</f>
        <v>0.68402777777777768</v>
      </c>
      <c r="E27" s="11">
        <v>3.125E-2</v>
      </c>
      <c r="F27" s="12">
        <f ca="1">ROW()-ROW(OFFSET(F27,-1,))+IF(ISERROR(OFFSET(F27,-1,)*1),0,OFFSET(F27,-1,))</f>
        <v>15</v>
      </c>
      <c r="G27" s="31" t="s">
        <v>58</v>
      </c>
      <c r="H27" s="32"/>
      <c r="I27" s="32"/>
      <c r="J27" s="32"/>
      <c r="K27" s="33"/>
      <c r="L27" s="18"/>
      <c r="M27" s="12" t="s">
        <v>59</v>
      </c>
      <c r="N27" s="27"/>
      <c r="O27" s="17"/>
      <c r="P27" s="17"/>
      <c r="Q27" s="17"/>
      <c r="R27" s="17"/>
      <c r="S27" s="17"/>
      <c r="T27" s="17"/>
    </row>
    <row r="28" spans="2:20" ht="24" customHeight="1" x14ac:dyDescent="0.15">
      <c r="B28" s="9">
        <f t="shared" ref="B28" ca="1" si="7">F28</f>
        <v>16</v>
      </c>
      <c r="C28" s="10">
        <f t="shared" ref="C28" ca="1" si="8">IF(E28="Select","",IF(AND(F28=1,E28&lt;&gt;"Select"),$K$3,OFFSET(C28,-1,1)))</f>
        <v>0.68402777777777768</v>
      </c>
      <c r="D28" s="10">
        <f t="shared" ref="D28" ca="1" si="9">IF(ISERROR(E28+C28),"",E28+C28)</f>
        <v>0.70138888888888884</v>
      </c>
      <c r="E28" s="11">
        <v>1.7361111111111112E-2</v>
      </c>
      <c r="F28" s="12">
        <f ca="1">ROW()-ROW(OFFSET(F28,-1,))+IF(ISERROR(OFFSET(F28,-1,)*1),0,OFFSET(F28,-1,))</f>
        <v>16</v>
      </c>
      <c r="G28" s="31" t="s">
        <v>61</v>
      </c>
      <c r="H28" s="32"/>
      <c r="I28" s="32"/>
      <c r="J28" s="32"/>
      <c r="K28" s="33"/>
      <c r="L28" s="18"/>
      <c r="M28" s="12" t="s">
        <v>60</v>
      </c>
      <c r="N28" s="27"/>
      <c r="O28" s="17"/>
      <c r="P28" s="17"/>
      <c r="Q28" s="17"/>
      <c r="R28" s="17"/>
      <c r="S28" s="17"/>
      <c r="T28" s="17"/>
    </row>
    <row r="29" spans="2:20" ht="24" customHeight="1" x14ac:dyDescent="0.15">
      <c r="B29" s="9">
        <f t="shared" ref="B29" ca="1" si="10">F29</f>
        <v>17</v>
      </c>
      <c r="C29" s="10">
        <f t="shared" ref="C29" ca="1" si="11">IF(E29="Select","",IF(AND(F29=1,E29&lt;&gt;"Select"),$K$3,OFFSET(C29,-1,1)))</f>
        <v>0.70138888888888884</v>
      </c>
      <c r="D29" s="10">
        <f t="shared" ref="D29" ca="1" si="12">IF(ISERROR(E29+C29),"",E29+C29)</f>
        <v>0.70833333333333326</v>
      </c>
      <c r="E29" s="11">
        <v>6.9444444444444441E-3</v>
      </c>
      <c r="F29" s="12">
        <f ca="1">ROW()-ROW(OFFSET(F29,-1,))+IF(ISERROR(OFFSET(F29,-1,)*1),0,OFFSET(F29,-1,))</f>
        <v>17</v>
      </c>
      <c r="G29" s="31" t="s">
        <v>62</v>
      </c>
      <c r="H29" s="32"/>
      <c r="I29" s="32"/>
      <c r="J29" s="32"/>
      <c r="K29" s="33"/>
      <c r="L29" s="18"/>
      <c r="M29" s="12"/>
      <c r="N29" s="27"/>
      <c r="O29" s="17"/>
      <c r="P29" s="17"/>
      <c r="Q29" s="17"/>
      <c r="R29" s="17"/>
      <c r="S29" s="17"/>
      <c r="T29" s="17"/>
    </row>
    <row r="30" spans="2:20" ht="22.5" customHeight="1" x14ac:dyDescent="0.15">
      <c r="E30" s="13">
        <f>SUM(E13:E29)</f>
        <v>0.33333333333333331</v>
      </c>
    </row>
    <row r="33" spans="2:3" ht="16" x14ac:dyDescent="0.2">
      <c r="B33" s="8" t="s">
        <v>10</v>
      </c>
    </row>
    <row r="36" spans="2:3" ht="16" x14ac:dyDescent="0.2">
      <c r="C36" s="23"/>
    </row>
    <row r="37" spans="2:3" ht="16" x14ac:dyDescent="0.2">
      <c r="C37" s="24"/>
    </row>
    <row r="38" spans="2:3" ht="15" x14ac:dyDescent="0.2">
      <c r="C38" s="25"/>
    </row>
  </sheetData>
  <mergeCells count="20">
    <mergeCell ref="G29:K29"/>
    <mergeCell ref="F2:I2"/>
    <mergeCell ref="F3:I3"/>
    <mergeCell ref="F12:K12"/>
    <mergeCell ref="G24:K24"/>
    <mergeCell ref="G13:K13"/>
    <mergeCell ref="G19:K19"/>
    <mergeCell ref="G14:K14"/>
    <mergeCell ref="G16:K16"/>
    <mergeCell ref="G17:K17"/>
    <mergeCell ref="G18:K18"/>
    <mergeCell ref="G20:K20"/>
    <mergeCell ref="G21:K21"/>
    <mergeCell ref="G22:K22"/>
    <mergeCell ref="G23:K23"/>
    <mergeCell ref="G25:K25"/>
    <mergeCell ref="G26:K26"/>
    <mergeCell ref="G15:K15"/>
    <mergeCell ref="G27:K27"/>
    <mergeCell ref="G28:K28"/>
  </mergeCells>
  <conditionalFormatting sqref="E30">
    <cfRule type="expression" dxfId="2" priority="3" stopIfTrue="1">
      <formula>#REF!&lt;&gt;#REF!</formula>
    </cfRule>
  </conditionalFormatting>
  <dataValidations count="2">
    <dataValidation allowBlank="1" showInputMessage="1" showErrorMessage="1" prompt="Enter time as H:MM:SS (update AM/PM as necessary)." sqref="K3:L11" xr:uid="{A6668F6F-6387-429D-A96E-6340520C81CD}"/>
    <dataValidation type="list" allowBlank="1" showInputMessage="1" showErrorMessage="1" sqref="E13:E29" xr:uid="{9553B08E-9F8B-4959-9B86-3BB907715C00}">
      <formula1>"0:00, 0:05, 0:10, 0:15, 0:20, 0:25, 0:30, 0:35, 0:40, 0:45, 0:50, 0:55, 1:00, 1:15, 1:30"</formula1>
    </dataValidation>
  </dataValidations>
  <pageMargins left="0.7" right="0.7" top="0.75" bottom="0.75" header="0.3" footer="0.3"/>
  <pageSetup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FC26-3376-4050-B569-F512478EFC7F}">
  <sheetPr>
    <pageSetUpPr fitToPage="1"/>
  </sheetPr>
  <dimension ref="B1:T36"/>
  <sheetViews>
    <sheetView topLeftCell="B11" zoomScale="130" zoomScaleNormal="130" zoomScalePageLayoutView="150" workbookViewId="0">
      <selection activeCell="L27" sqref="L27"/>
    </sheetView>
  </sheetViews>
  <sheetFormatPr baseColWidth="10" defaultColWidth="12" defaultRowHeight="12" x14ac:dyDescent="0.15"/>
  <cols>
    <col min="1" max="1" width="0" hidden="1" customWidth="1"/>
    <col min="2" max="2" width="5.3984375" customWidth="1"/>
    <col min="3" max="4" width="11.59765625" customWidth="1"/>
    <col min="5" max="5" width="12.19921875" customWidth="1"/>
    <col min="6" max="6" width="4.59765625" customWidth="1"/>
    <col min="7" max="8" width="11.3984375" customWidth="1"/>
    <col min="9" max="9" width="2.3984375" customWidth="1"/>
    <col min="10" max="10" width="11.3984375" customWidth="1"/>
    <col min="11" max="11" width="26" customWidth="1"/>
    <col min="12" max="12" width="21" customWidth="1"/>
    <col min="13" max="13" width="62.796875" bestFit="1" customWidth="1"/>
    <col min="14" max="251" width="9.3984375" customWidth="1"/>
  </cols>
  <sheetData>
    <row r="1" spans="2:20" ht="15" hidden="1" x14ac:dyDescent="0.2">
      <c r="G1" s="6" t="s">
        <v>0</v>
      </c>
      <c r="H1" s="7"/>
      <c r="I1" s="7"/>
      <c r="J1" s="7"/>
      <c r="K1" s="7"/>
      <c r="L1" s="7"/>
      <c r="M1" s="7"/>
    </row>
    <row r="2" spans="2:20" ht="12" hidden="1" customHeight="1" x14ac:dyDescent="0.15">
      <c r="F2" s="34"/>
      <c r="G2" s="34"/>
      <c r="H2" s="34"/>
      <c r="I2" s="34"/>
      <c r="J2" s="19"/>
      <c r="K2" s="19" t="s">
        <v>1</v>
      </c>
      <c r="L2" s="19" t="s">
        <v>2</v>
      </c>
      <c r="M2" s="19"/>
    </row>
    <row r="3" spans="2:20" ht="12" hidden="1" customHeight="1" x14ac:dyDescent="0.15">
      <c r="F3" s="35"/>
      <c r="G3" s="35"/>
      <c r="H3" s="35"/>
      <c r="I3" s="35"/>
      <c r="J3" s="2"/>
      <c r="K3" s="3">
        <v>0.375</v>
      </c>
      <c r="L3" s="3">
        <v>0.70833333333333337</v>
      </c>
      <c r="M3" s="21"/>
    </row>
    <row r="4" spans="2:20" hidden="1" x14ac:dyDescent="0.15">
      <c r="F4" s="1"/>
      <c r="G4" s="1"/>
      <c r="H4" s="1"/>
      <c r="I4" s="1"/>
      <c r="J4" s="2"/>
      <c r="K4" s="3"/>
      <c r="L4" s="3"/>
      <c r="M4" s="4"/>
    </row>
    <row r="5" spans="2:20" hidden="1" x14ac:dyDescent="0.15">
      <c r="F5" s="1"/>
      <c r="G5" s="1"/>
      <c r="H5" s="1"/>
      <c r="I5" s="1"/>
      <c r="J5" s="2"/>
      <c r="K5" s="3"/>
      <c r="L5" s="3"/>
      <c r="M5" s="4"/>
    </row>
    <row r="6" spans="2:20" hidden="1" x14ac:dyDescent="0.15">
      <c r="F6" s="1"/>
      <c r="G6" s="1"/>
      <c r="H6" s="1"/>
      <c r="I6" s="1"/>
      <c r="J6" s="2"/>
      <c r="K6" s="3"/>
      <c r="L6" s="3"/>
      <c r="M6" s="4"/>
    </row>
    <row r="7" spans="2:20" hidden="1" x14ac:dyDescent="0.15">
      <c r="F7" s="1"/>
      <c r="G7" s="1"/>
      <c r="H7" s="1"/>
      <c r="I7" s="1"/>
      <c r="J7" s="2"/>
      <c r="K7" s="3"/>
      <c r="L7" s="3"/>
      <c r="M7" s="4"/>
    </row>
    <row r="8" spans="2:20" hidden="1" x14ac:dyDescent="0.15">
      <c r="F8" s="1"/>
      <c r="G8" s="1"/>
      <c r="H8" s="1"/>
      <c r="I8" s="1"/>
      <c r="J8" s="2"/>
      <c r="K8" s="3"/>
      <c r="L8" s="3"/>
      <c r="M8" s="4"/>
    </row>
    <row r="9" spans="2:20" ht="20" x14ac:dyDescent="0.2">
      <c r="B9" s="5" t="s">
        <v>14</v>
      </c>
      <c r="F9" s="1"/>
      <c r="G9" s="1"/>
      <c r="H9" s="1"/>
      <c r="I9" s="1"/>
      <c r="J9" s="2"/>
      <c r="K9" s="3"/>
      <c r="L9" s="3"/>
      <c r="M9" s="4"/>
    </row>
    <row r="10" spans="2:20" hidden="1" x14ac:dyDescent="0.15">
      <c r="F10" s="1"/>
      <c r="G10" s="1"/>
      <c r="H10" s="1"/>
      <c r="I10" s="1"/>
      <c r="J10" s="2"/>
      <c r="K10" s="3"/>
      <c r="L10" s="3"/>
      <c r="M10" s="4"/>
    </row>
    <row r="11" spans="2:20" ht="13" thickBot="1" x14ac:dyDescent="0.2">
      <c r="F11" s="1"/>
      <c r="G11" s="1"/>
      <c r="H11" s="1"/>
      <c r="I11" s="1"/>
      <c r="J11" s="2"/>
      <c r="K11" s="3"/>
      <c r="L11" s="3"/>
      <c r="M11" s="4"/>
    </row>
    <row r="12" spans="2:20" s="16" customFormat="1" ht="21.75" customHeight="1" x14ac:dyDescent="0.15">
      <c r="B12" s="14"/>
      <c r="C12" s="14" t="s">
        <v>1</v>
      </c>
      <c r="D12" s="14" t="s">
        <v>4</v>
      </c>
      <c r="E12" s="14" t="s">
        <v>3</v>
      </c>
      <c r="F12" s="36" t="s">
        <v>5</v>
      </c>
      <c r="G12" s="37"/>
      <c r="H12" s="37"/>
      <c r="I12" s="37"/>
      <c r="J12" s="37"/>
      <c r="K12" s="38"/>
      <c r="L12" s="22" t="s">
        <v>6</v>
      </c>
      <c r="M12" s="15" t="s">
        <v>7</v>
      </c>
    </row>
    <row r="13" spans="2:20" ht="24" customHeight="1" x14ac:dyDescent="0.2">
      <c r="B13" s="9">
        <f t="shared" ref="B13:B27" ca="1" si="0">F13</f>
        <v>1</v>
      </c>
      <c r="C13" s="10">
        <f t="shared" ref="C13:C26" ca="1" si="1">IF(E13="Select","",IF(AND(F13=1,E13&lt;&gt;"Select"),$K$3,OFFSET(C13,-1,1)))</f>
        <v>0.375</v>
      </c>
      <c r="D13" s="10">
        <f t="shared" ref="D13:D26" ca="1" si="2">IF(ISERROR(E13+C13),"",E13+C13)</f>
        <v>0.39583333333333331</v>
      </c>
      <c r="E13" s="11">
        <v>2.0833333333333332E-2</v>
      </c>
      <c r="F13" s="12">
        <f t="shared" ref="F13:F26" ca="1" si="3">ROW()-ROW(OFFSET(F13,-1,))+IF(ISERROR(OFFSET(F13,-1,)*1),0,OFFSET(F13,-1,))</f>
        <v>1</v>
      </c>
      <c r="G13" s="31" t="s">
        <v>18</v>
      </c>
      <c r="H13" s="32"/>
      <c r="I13" s="32"/>
      <c r="J13" s="32"/>
      <c r="K13" s="33"/>
      <c r="L13" s="18"/>
      <c r="M13" s="12"/>
      <c r="N13" s="24"/>
      <c r="O13" s="17"/>
      <c r="P13" s="17"/>
      <c r="Q13" s="17"/>
      <c r="R13" s="17"/>
      <c r="S13" s="17"/>
      <c r="T13" s="17"/>
    </row>
    <row r="14" spans="2:20" ht="24" customHeight="1" x14ac:dyDescent="0.15">
      <c r="B14" s="9">
        <f ca="1">F14</f>
        <v>2</v>
      </c>
      <c r="C14" s="10">
        <f ca="1">IF(E14="Select","",IF(AND(F14=1,E14&lt;&gt;"Select"),'Day 2'!$K$3,OFFSET(C14,-1,1)))</f>
        <v>0.39583333333333331</v>
      </c>
      <c r="D14" s="10">
        <f ca="1">IF(ISERROR(E14+C14),"",E14+C14)</f>
        <v>0.41666666666666663</v>
      </c>
      <c r="E14" s="11">
        <v>2.0833333333333332E-2</v>
      </c>
      <c r="F14" s="12">
        <f ca="1">ROW()-ROW(OFFSET(F14,-1,))+IF(ISERROR(OFFSET(F14,-1,)*1),0,OFFSET(F14,-1,))</f>
        <v>2</v>
      </c>
      <c r="G14" s="31" t="s">
        <v>63</v>
      </c>
      <c r="H14" s="32"/>
      <c r="I14" s="32"/>
      <c r="J14" s="32"/>
      <c r="K14" s="33"/>
      <c r="L14" s="18"/>
      <c r="M14" s="12" t="s">
        <v>64</v>
      </c>
      <c r="N14" s="27"/>
      <c r="O14" s="17"/>
      <c r="P14" s="17"/>
      <c r="Q14" s="17"/>
      <c r="R14" s="17"/>
      <c r="S14" s="17"/>
      <c r="T14" s="17"/>
    </row>
    <row r="15" spans="2:20" ht="24" customHeight="1" x14ac:dyDescent="0.2">
      <c r="B15" s="9">
        <f t="shared" ref="B15" ca="1" si="4">F15</f>
        <v>3</v>
      </c>
      <c r="C15" s="10">
        <f t="shared" ref="C15" ca="1" si="5">IF(E15="Select","",IF(AND(F15=1,E15&lt;&gt;"Select"),$K$3,OFFSET(C15,-1,1)))</f>
        <v>0.41666666666666663</v>
      </c>
      <c r="D15" s="10">
        <f t="shared" ref="D15" ca="1" si="6">IF(ISERROR(E15+C15),"",E15+C15)</f>
        <v>0.44444444444444442</v>
      </c>
      <c r="E15" s="11">
        <v>2.7777777777777776E-2</v>
      </c>
      <c r="F15" s="12">
        <f t="shared" ca="1" si="3"/>
        <v>3</v>
      </c>
      <c r="G15" s="31" t="s">
        <v>65</v>
      </c>
      <c r="H15" s="32"/>
      <c r="I15" s="32"/>
      <c r="J15" s="32"/>
      <c r="K15" s="33"/>
      <c r="L15" s="18"/>
      <c r="M15" s="12" t="s">
        <v>66</v>
      </c>
      <c r="N15" s="24"/>
      <c r="O15" s="17"/>
      <c r="P15" s="17"/>
      <c r="Q15" s="17"/>
      <c r="R15" s="17"/>
      <c r="S15" s="17"/>
      <c r="T15" s="17"/>
    </row>
    <row r="16" spans="2:20" ht="24" customHeight="1" x14ac:dyDescent="0.2">
      <c r="B16" s="9">
        <f ca="1">F16</f>
        <v>4</v>
      </c>
      <c r="C16" s="10">
        <f ca="1">IF(E16="Select","",IF(AND(F16=1,E16&lt;&gt;"Select"),'Day 3'!$K$3,OFFSET(C16,-1,1)))</f>
        <v>0.44444444444444442</v>
      </c>
      <c r="D16" s="10">
        <f ca="1">IF(ISERROR(E16+C16),"",E16+C16)</f>
        <v>0.45138888888888884</v>
      </c>
      <c r="E16" s="11">
        <v>6.9444444444444441E-3</v>
      </c>
      <c r="F16" s="12">
        <f ca="1">ROW()-ROW(OFFSET(F16,-1,))+IF(ISERROR(OFFSET(F16,-1,)*1),0,OFFSET(F16,-1,))</f>
        <v>4</v>
      </c>
      <c r="G16" s="31" t="s">
        <v>9</v>
      </c>
      <c r="H16" s="32"/>
      <c r="I16" s="32"/>
      <c r="J16" s="32"/>
      <c r="K16" s="33"/>
      <c r="L16" s="18"/>
      <c r="M16" s="12"/>
      <c r="N16" s="24"/>
      <c r="O16" s="17"/>
      <c r="P16" s="17"/>
      <c r="Q16" s="17"/>
      <c r="R16" s="17"/>
      <c r="S16" s="17"/>
      <c r="T16" s="17"/>
    </row>
    <row r="17" spans="2:20" ht="24" customHeight="1" x14ac:dyDescent="0.2">
      <c r="B17" s="9">
        <f ca="1">F17</f>
        <v>5</v>
      </c>
      <c r="C17" s="10">
        <f ca="1">IF(E17="Select","",IF(AND(F17=1,E17&lt;&gt;"Select"),'Day 3'!$K$3,OFFSET(C17,-1,1)))</f>
        <v>0.45138888888888884</v>
      </c>
      <c r="D17" s="10">
        <f ca="1">IF(ISERROR(E17+C17),"",E17+C17)</f>
        <v>0.47916666666666663</v>
      </c>
      <c r="E17" s="11">
        <v>2.7777777777777776E-2</v>
      </c>
      <c r="F17" s="12">
        <f ca="1">ROW()-ROW(OFFSET(F17,-1,))+IF(ISERROR(OFFSET(F17,-1,)*1),0,OFFSET(F17,-1,))</f>
        <v>5</v>
      </c>
      <c r="G17" s="31" t="s">
        <v>67</v>
      </c>
      <c r="H17" s="32"/>
      <c r="I17" s="32"/>
      <c r="J17" s="32"/>
      <c r="K17" s="33"/>
      <c r="L17" s="18"/>
      <c r="M17" s="12" t="s">
        <v>68</v>
      </c>
      <c r="N17" s="24"/>
      <c r="O17" s="17"/>
      <c r="P17" s="17"/>
      <c r="Q17" s="17"/>
      <c r="R17" s="17"/>
      <c r="S17" s="17"/>
      <c r="T17" s="17"/>
    </row>
    <row r="18" spans="2:20" ht="24" customHeight="1" x14ac:dyDescent="0.15">
      <c r="B18" s="9">
        <f ca="1">F18</f>
        <v>6</v>
      </c>
      <c r="C18" s="10">
        <f ca="1">IF(E18="Select","",IF(AND(F18=1,E18&lt;&gt;"Select"),$K$3,OFFSET(C18,-1,1)))</f>
        <v>0.47916666666666663</v>
      </c>
      <c r="D18" s="10">
        <f ca="1">IF(ISERROR(E18+C18),"",E18+C18)</f>
        <v>0.50694444444444442</v>
      </c>
      <c r="E18" s="11">
        <v>2.7777777777777776E-2</v>
      </c>
      <c r="F18" s="12">
        <f ca="1">ROW()-ROW(OFFSET(F18,-1,))+IF(ISERROR(OFFSET(F18,-1,)*1),0,OFFSET(F18,-1,))</f>
        <v>6</v>
      </c>
      <c r="G18" s="31" t="s">
        <v>69</v>
      </c>
      <c r="H18" s="32"/>
      <c r="I18" s="32"/>
      <c r="J18" s="32"/>
      <c r="K18" s="33"/>
      <c r="L18" s="18"/>
      <c r="M18" s="12" t="s">
        <v>70</v>
      </c>
      <c r="N18" s="17"/>
      <c r="O18" s="17"/>
      <c r="P18" s="17"/>
      <c r="Q18" s="17"/>
      <c r="R18" s="17"/>
      <c r="S18" s="17"/>
      <c r="T18" s="17"/>
    </row>
    <row r="19" spans="2:20" ht="24" customHeight="1" x14ac:dyDescent="0.2">
      <c r="B19" s="9">
        <f t="shared" ca="1" si="0"/>
        <v>7</v>
      </c>
      <c r="C19" s="10">
        <f t="shared" ca="1" si="1"/>
        <v>0.50694444444444442</v>
      </c>
      <c r="D19" s="10">
        <f t="shared" ca="1" si="2"/>
        <v>0.54861111111111105</v>
      </c>
      <c r="E19" s="11">
        <v>4.1666666666666664E-2</v>
      </c>
      <c r="F19" s="12">
        <f t="shared" ca="1" si="3"/>
        <v>7</v>
      </c>
      <c r="G19" s="31" t="s">
        <v>26</v>
      </c>
      <c r="H19" s="32"/>
      <c r="I19" s="32"/>
      <c r="J19" s="32"/>
      <c r="K19" s="33"/>
      <c r="L19" s="18"/>
      <c r="M19" s="12"/>
      <c r="N19" s="24"/>
      <c r="O19" s="17"/>
      <c r="P19" s="17"/>
      <c r="Q19" s="17"/>
      <c r="R19" s="17"/>
      <c r="S19" s="17"/>
      <c r="T19" s="17"/>
    </row>
    <row r="20" spans="2:20" ht="24" customHeight="1" x14ac:dyDescent="0.15">
      <c r="B20" s="9">
        <f t="shared" ca="1" si="0"/>
        <v>8</v>
      </c>
      <c r="C20" s="10">
        <f t="shared" ca="1" si="1"/>
        <v>0.54861111111111105</v>
      </c>
      <c r="D20" s="10">
        <f t="shared" ca="1" si="2"/>
        <v>0.56944444444444442</v>
      </c>
      <c r="E20" s="11">
        <v>2.0833333333333332E-2</v>
      </c>
      <c r="F20" s="12">
        <f t="shared" ca="1" si="3"/>
        <v>8</v>
      </c>
      <c r="G20" s="31" t="s">
        <v>19</v>
      </c>
      <c r="H20" s="32"/>
      <c r="I20" s="32"/>
      <c r="J20" s="32"/>
      <c r="K20" s="33"/>
      <c r="L20" s="18"/>
      <c r="M20" s="12" t="s">
        <v>71</v>
      </c>
      <c r="N20" s="26"/>
      <c r="O20" s="17"/>
      <c r="P20" s="17"/>
      <c r="Q20" s="17"/>
      <c r="R20" s="17"/>
      <c r="S20" s="17"/>
      <c r="T20" s="17"/>
    </row>
    <row r="21" spans="2:20" ht="24" customHeight="1" x14ac:dyDescent="0.15">
      <c r="B21" s="9">
        <f ca="1">F21</f>
        <v>9</v>
      </c>
      <c r="C21" s="10">
        <f ca="1">IF(E21="Select","",IF(AND(F21=1,E21&lt;&gt;"Select"),$K$3,OFFSET(C21,-1,1)))</f>
        <v>0.56944444444444442</v>
      </c>
      <c r="D21" s="10">
        <f ca="1">IF(ISERROR(E21+C21),"",E21+C21)</f>
        <v>0.59722222222222221</v>
      </c>
      <c r="E21" s="11">
        <v>2.7777777777777776E-2</v>
      </c>
      <c r="F21" s="12">
        <f ca="1">ROW()-ROW(OFFSET(F21,-1,))+IF(ISERROR(OFFSET(F21,-1,)*1),0,OFFSET(F21,-1,))</f>
        <v>9</v>
      </c>
      <c r="G21" s="31" t="s">
        <v>72</v>
      </c>
      <c r="H21" s="32"/>
      <c r="I21" s="32"/>
      <c r="J21" s="32"/>
      <c r="K21" s="33"/>
      <c r="L21" s="18"/>
      <c r="M21" s="12" t="s">
        <v>73</v>
      </c>
      <c r="N21" s="26"/>
      <c r="O21" s="17"/>
      <c r="P21" s="17"/>
      <c r="Q21" s="17"/>
      <c r="R21" s="17"/>
      <c r="S21" s="17"/>
      <c r="T21" s="17"/>
    </row>
    <row r="22" spans="2:20" ht="24" customHeight="1" x14ac:dyDescent="0.15">
      <c r="B22" s="9">
        <f t="shared" ca="1" si="0"/>
        <v>10</v>
      </c>
      <c r="C22" s="10">
        <f t="shared" ca="1" si="1"/>
        <v>0.59722222222222221</v>
      </c>
      <c r="D22" s="10">
        <f t="shared" ca="1" si="2"/>
        <v>0.61805555555555558</v>
      </c>
      <c r="E22" s="11">
        <v>2.0833333333333332E-2</v>
      </c>
      <c r="F22" s="12">
        <f t="shared" ca="1" si="3"/>
        <v>10</v>
      </c>
      <c r="G22" s="31" t="s">
        <v>74</v>
      </c>
      <c r="H22" s="32"/>
      <c r="I22" s="32"/>
      <c r="J22" s="32"/>
      <c r="K22" s="33"/>
      <c r="L22" s="18"/>
      <c r="M22" s="12" t="s">
        <v>75</v>
      </c>
      <c r="N22" s="26"/>
      <c r="O22" s="17"/>
      <c r="P22" s="17"/>
      <c r="Q22" s="17"/>
      <c r="R22" s="17"/>
      <c r="S22" s="17"/>
      <c r="T22" s="17"/>
    </row>
    <row r="23" spans="2:20" ht="24" customHeight="1" x14ac:dyDescent="0.15">
      <c r="B23" s="9">
        <f ca="1">F23</f>
        <v>11</v>
      </c>
      <c r="C23" s="10">
        <f ca="1">IF(E23="Select","",IF(AND(F23=1,E23&lt;&gt;"Select"),$K$3,OFFSET(C23,-1,1)))</f>
        <v>0.61805555555555558</v>
      </c>
      <c r="D23" s="10">
        <f ca="1">IF(ISERROR(E23+C23),"",E23+C23)</f>
        <v>0.625</v>
      </c>
      <c r="E23" s="11">
        <v>6.9444444444444441E-3</v>
      </c>
      <c r="F23" s="12">
        <f ca="1">ROW()-ROW(OFFSET(F23,-1,))+IF(ISERROR(OFFSET(F23,-1,)*1),0,OFFSET(F23,-1,))</f>
        <v>11</v>
      </c>
      <c r="G23" s="31" t="s">
        <v>9</v>
      </c>
      <c r="H23" s="32"/>
      <c r="I23" s="32"/>
      <c r="J23" s="32"/>
      <c r="K23" s="33"/>
      <c r="L23" s="18"/>
      <c r="M23" s="12"/>
      <c r="N23" s="17"/>
      <c r="O23" s="17"/>
      <c r="P23" s="17"/>
      <c r="Q23" s="17"/>
      <c r="R23" s="17"/>
      <c r="S23" s="17"/>
      <c r="T23" s="17"/>
    </row>
    <row r="24" spans="2:20" ht="24" customHeight="1" x14ac:dyDescent="0.15">
      <c r="B24" s="9">
        <f t="shared" ca="1" si="0"/>
        <v>12</v>
      </c>
      <c r="C24" s="10">
        <f t="shared" ca="1" si="1"/>
        <v>0.625</v>
      </c>
      <c r="D24" s="10">
        <f t="shared" ca="1" si="2"/>
        <v>0.66666666666666663</v>
      </c>
      <c r="E24" s="11">
        <v>4.1666666666666664E-2</v>
      </c>
      <c r="F24" s="12">
        <f t="shared" ca="1" si="3"/>
        <v>12</v>
      </c>
      <c r="G24" s="31" t="s">
        <v>76</v>
      </c>
      <c r="H24" s="32"/>
      <c r="I24" s="32"/>
      <c r="J24" s="32"/>
      <c r="K24" s="33"/>
      <c r="L24" s="18"/>
      <c r="M24" s="12" t="s">
        <v>77</v>
      </c>
      <c r="N24" s="26"/>
      <c r="O24" s="17"/>
      <c r="P24" s="17"/>
      <c r="Q24" s="17"/>
      <c r="R24" s="17"/>
      <c r="S24" s="17"/>
      <c r="T24" s="17"/>
    </row>
    <row r="25" spans="2:20" ht="24" customHeight="1" x14ac:dyDescent="0.2">
      <c r="B25" s="9">
        <f t="shared" ca="1" si="0"/>
        <v>13</v>
      </c>
      <c r="C25" s="10">
        <f t="shared" ca="1" si="1"/>
        <v>0.66666666666666663</v>
      </c>
      <c r="D25" s="10">
        <f t="shared" ca="1" si="2"/>
        <v>0.6875</v>
      </c>
      <c r="E25" s="11">
        <v>2.0833333333333332E-2</v>
      </c>
      <c r="F25" s="12">
        <f t="shared" ca="1" si="3"/>
        <v>13</v>
      </c>
      <c r="G25" s="31" t="s">
        <v>78</v>
      </c>
      <c r="H25" s="32"/>
      <c r="I25" s="32"/>
      <c r="J25" s="32"/>
      <c r="K25" s="33"/>
      <c r="L25" s="18"/>
      <c r="M25" s="12" t="s">
        <v>79</v>
      </c>
      <c r="N25" s="24"/>
      <c r="O25" s="20"/>
      <c r="P25" s="20"/>
      <c r="Q25" s="17"/>
      <c r="R25" s="17"/>
      <c r="S25" s="17"/>
      <c r="T25" s="17"/>
    </row>
    <row r="26" spans="2:20" ht="24" customHeight="1" x14ac:dyDescent="0.2">
      <c r="B26" s="9">
        <f t="shared" ca="1" si="0"/>
        <v>14</v>
      </c>
      <c r="C26" s="10">
        <f t="shared" ca="1" si="1"/>
        <v>0.6875</v>
      </c>
      <c r="D26" s="10">
        <f t="shared" ca="1" si="2"/>
        <v>0.70138888888888884</v>
      </c>
      <c r="E26" s="11">
        <v>1.3888888888888888E-2</v>
      </c>
      <c r="F26" s="12">
        <f t="shared" ca="1" si="3"/>
        <v>14</v>
      </c>
      <c r="G26" s="31" t="s">
        <v>80</v>
      </c>
      <c r="H26" s="32"/>
      <c r="I26" s="32"/>
      <c r="J26" s="32"/>
      <c r="K26" s="33"/>
      <c r="L26" s="18"/>
      <c r="M26" s="12" t="s">
        <v>81</v>
      </c>
      <c r="N26" s="24"/>
      <c r="O26" s="17"/>
      <c r="P26" s="17"/>
      <c r="Q26" s="17"/>
      <c r="R26" s="17"/>
      <c r="S26" s="17"/>
      <c r="T26" s="17"/>
    </row>
    <row r="27" spans="2:20" ht="24" customHeight="1" x14ac:dyDescent="0.15">
      <c r="B27" s="9">
        <f t="shared" ca="1" si="0"/>
        <v>15</v>
      </c>
      <c r="C27" s="10">
        <f t="shared" ref="C27" ca="1" si="7">IF(E27="Select","",IF(AND(F27=1,E27&lt;&gt;"Select"),$K$3,OFFSET(C27,-1,1)))</f>
        <v>0.70138888888888884</v>
      </c>
      <c r="D27" s="10">
        <f t="shared" ref="D27" ca="1" si="8">IF(ISERROR(E27+C27),"",E27+C27)</f>
        <v>0.70833333333333326</v>
      </c>
      <c r="E27" s="11">
        <v>6.9444444444444441E-3</v>
      </c>
      <c r="F27" s="12">
        <f t="shared" ref="F27" ca="1" si="9">ROW()-ROW(OFFSET(F27,-1,))+IF(ISERROR(OFFSET(F27,-1,)*1),0,OFFSET(F27,-1,))</f>
        <v>15</v>
      </c>
      <c r="G27" s="31" t="s">
        <v>62</v>
      </c>
      <c r="H27" s="32"/>
      <c r="I27" s="32"/>
      <c r="J27" s="32"/>
      <c r="K27" s="33"/>
      <c r="L27" s="18"/>
      <c r="M27" s="12"/>
      <c r="N27" s="26"/>
      <c r="O27" s="27"/>
      <c r="P27" s="17"/>
      <c r="Q27" s="17"/>
      <c r="R27" s="17"/>
      <c r="S27" s="17"/>
      <c r="T27" s="17"/>
    </row>
    <row r="28" spans="2:20" ht="22.5" customHeight="1" x14ac:dyDescent="0.15">
      <c r="E28" s="13">
        <f>SUM(E13:E27)</f>
        <v>0.33333333333333331</v>
      </c>
    </row>
    <row r="31" spans="2:20" ht="16" x14ac:dyDescent="0.2">
      <c r="B31" s="8" t="s">
        <v>10</v>
      </c>
    </row>
    <row r="34" spans="3:3" ht="16" x14ac:dyDescent="0.2">
      <c r="C34" s="23"/>
    </row>
    <row r="35" spans="3:3" ht="16" x14ac:dyDescent="0.2">
      <c r="C35" s="24"/>
    </row>
    <row r="36" spans="3:3" ht="15" x14ac:dyDescent="0.2">
      <c r="C36" s="25"/>
    </row>
  </sheetData>
  <mergeCells count="18">
    <mergeCell ref="G27:K27"/>
    <mergeCell ref="G23:K23"/>
    <mergeCell ref="G26:K26"/>
    <mergeCell ref="G24:K24"/>
    <mergeCell ref="G25:K25"/>
    <mergeCell ref="G13:K13"/>
    <mergeCell ref="G22:K22"/>
    <mergeCell ref="G20:K20"/>
    <mergeCell ref="F2:I2"/>
    <mergeCell ref="F3:I3"/>
    <mergeCell ref="F12:K12"/>
    <mergeCell ref="G17:K17"/>
    <mergeCell ref="G14:K14"/>
    <mergeCell ref="G15:K15"/>
    <mergeCell ref="G16:K16"/>
    <mergeCell ref="G18:K18"/>
    <mergeCell ref="G19:K19"/>
    <mergeCell ref="G21:K21"/>
  </mergeCells>
  <conditionalFormatting sqref="E28">
    <cfRule type="expression" dxfId="1" priority="4" stopIfTrue="1">
      <formula>#REF!&lt;&gt;#REF!</formula>
    </cfRule>
  </conditionalFormatting>
  <dataValidations count="2">
    <dataValidation allowBlank="1" showInputMessage="1" showErrorMessage="1" prompt="Enter time as H:MM:SS (update AM/PM as necessary)." sqref="K3:L11" xr:uid="{DE1472D6-3EAB-4DEA-B196-E92D7498673C}"/>
    <dataValidation type="list" allowBlank="1" showInputMessage="1" showErrorMessage="1" sqref="E13:E27" xr:uid="{BA96F81D-030C-4515-9007-019502212301}">
      <formula1>"0:00, 0:05, 0:10, 0:15, 0:20, 0:25, 0:30, 0:35, 0:40, 0:45, 0:50, 0:55, 1:00, 1:15, 1:30"</formula1>
    </dataValidation>
  </dataValidations>
  <pageMargins left="0.7" right="0.7" top="0.75" bottom="0.75" header="0.3" footer="0.3"/>
  <pageSetup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36F2-774E-433F-B2A0-382BF29A8BBA}">
  <sheetPr>
    <pageSetUpPr fitToPage="1"/>
  </sheetPr>
  <dimension ref="B1:T35"/>
  <sheetViews>
    <sheetView tabSelected="1" topLeftCell="B9" zoomScale="130" zoomScaleNormal="130" zoomScalePageLayoutView="150" workbookViewId="0">
      <selection activeCell="H34" sqref="H34"/>
    </sheetView>
  </sheetViews>
  <sheetFormatPr baseColWidth="10" defaultColWidth="12" defaultRowHeight="12" x14ac:dyDescent="0.15"/>
  <cols>
    <col min="1" max="1" width="0" hidden="1" customWidth="1"/>
    <col min="2" max="2" width="5.3984375" customWidth="1"/>
    <col min="3" max="4" width="11.59765625" customWidth="1"/>
    <col min="5" max="5" width="12.19921875" customWidth="1"/>
    <col min="6" max="6" width="4.59765625" customWidth="1"/>
    <col min="7" max="8" width="11.3984375" customWidth="1"/>
    <col min="9" max="9" width="2.3984375" customWidth="1"/>
    <col min="10" max="10" width="11.3984375" customWidth="1"/>
    <col min="11" max="11" width="37.59765625" customWidth="1"/>
    <col min="12" max="12" width="21" customWidth="1"/>
    <col min="13" max="13" width="43" bestFit="1" customWidth="1"/>
    <col min="14" max="251" width="9.3984375" customWidth="1"/>
  </cols>
  <sheetData>
    <row r="1" spans="2:20" ht="15" hidden="1" x14ac:dyDescent="0.2">
      <c r="G1" s="6" t="s">
        <v>0</v>
      </c>
      <c r="H1" s="7"/>
      <c r="I1" s="7"/>
      <c r="J1" s="7"/>
      <c r="K1" s="7"/>
      <c r="L1" s="7"/>
      <c r="M1" s="7"/>
    </row>
    <row r="2" spans="2:20" ht="12" hidden="1" customHeight="1" x14ac:dyDescent="0.15">
      <c r="F2" s="34"/>
      <c r="G2" s="34"/>
      <c r="H2" s="34"/>
      <c r="I2" s="34"/>
      <c r="J2" s="19"/>
      <c r="K2" s="19" t="s">
        <v>1</v>
      </c>
      <c r="L2" s="19" t="s">
        <v>2</v>
      </c>
      <c r="M2" s="19"/>
    </row>
    <row r="3" spans="2:20" ht="12" hidden="1" customHeight="1" x14ac:dyDescent="0.15">
      <c r="F3" s="35"/>
      <c r="G3" s="35"/>
      <c r="H3" s="35"/>
      <c r="I3" s="35"/>
      <c r="J3" s="2"/>
      <c r="K3" s="3">
        <v>0.375</v>
      </c>
      <c r="L3" s="3">
        <v>0.70833333333333337</v>
      </c>
      <c r="M3" s="21"/>
    </row>
    <row r="4" spans="2:20" hidden="1" x14ac:dyDescent="0.15">
      <c r="F4" s="1"/>
      <c r="G4" s="1"/>
      <c r="H4" s="1"/>
      <c r="I4" s="1"/>
      <c r="J4" s="2"/>
      <c r="K4" s="3"/>
      <c r="L4" s="3"/>
      <c r="M4" s="4"/>
    </row>
    <row r="5" spans="2:20" hidden="1" x14ac:dyDescent="0.15">
      <c r="F5" s="1"/>
      <c r="G5" s="1"/>
      <c r="H5" s="1"/>
      <c r="I5" s="1"/>
      <c r="J5" s="2"/>
      <c r="K5" s="3"/>
      <c r="L5" s="3"/>
      <c r="M5" s="4"/>
    </row>
    <row r="6" spans="2:20" hidden="1" x14ac:dyDescent="0.15">
      <c r="F6" s="1"/>
      <c r="G6" s="1"/>
      <c r="H6" s="1"/>
      <c r="I6" s="1"/>
      <c r="J6" s="2"/>
      <c r="K6" s="3"/>
      <c r="L6" s="3"/>
      <c r="M6" s="4"/>
    </row>
    <row r="7" spans="2:20" hidden="1" x14ac:dyDescent="0.15">
      <c r="F7" s="1"/>
      <c r="G7" s="1"/>
      <c r="H7" s="1"/>
      <c r="I7" s="1"/>
      <c r="J7" s="2"/>
      <c r="K7" s="3"/>
      <c r="L7" s="3"/>
      <c r="M7" s="4"/>
    </row>
    <row r="8" spans="2:20" hidden="1" x14ac:dyDescent="0.15">
      <c r="F8" s="1"/>
      <c r="G8" s="1"/>
      <c r="H8" s="1"/>
      <c r="I8" s="1"/>
      <c r="J8" s="2"/>
      <c r="K8" s="3"/>
      <c r="L8" s="3"/>
      <c r="M8" s="4"/>
    </row>
    <row r="9" spans="2:20" ht="20" x14ac:dyDescent="0.2">
      <c r="B9" s="5" t="s">
        <v>15</v>
      </c>
      <c r="F9" s="1"/>
      <c r="G9" s="1"/>
      <c r="H9" s="1"/>
      <c r="I9" s="1"/>
      <c r="J9" s="2"/>
      <c r="K9" s="3"/>
      <c r="L9" s="3"/>
      <c r="M9" s="4"/>
    </row>
    <row r="10" spans="2:20" hidden="1" x14ac:dyDescent="0.15">
      <c r="F10" s="1"/>
      <c r="G10" s="1"/>
      <c r="H10" s="1"/>
      <c r="I10" s="1"/>
      <c r="J10" s="2"/>
      <c r="K10" s="3"/>
      <c r="L10" s="3"/>
      <c r="M10" s="4"/>
    </row>
    <row r="11" spans="2:20" ht="13" thickBot="1" x14ac:dyDescent="0.2">
      <c r="F11" s="1"/>
      <c r="G11" s="1"/>
      <c r="H11" s="1"/>
      <c r="I11" s="1"/>
      <c r="J11" s="2"/>
      <c r="K11" s="3"/>
      <c r="L11" s="3"/>
      <c r="M11" s="4"/>
    </row>
    <row r="12" spans="2:20" s="16" customFormat="1" ht="21.75" customHeight="1" x14ac:dyDescent="0.15">
      <c r="B12" s="14"/>
      <c r="C12" s="14" t="s">
        <v>1</v>
      </c>
      <c r="D12" s="14" t="s">
        <v>4</v>
      </c>
      <c r="E12" s="14" t="s">
        <v>3</v>
      </c>
      <c r="F12" s="36" t="s">
        <v>5</v>
      </c>
      <c r="G12" s="37"/>
      <c r="H12" s="37"/>
      <c r="I12" s="37"/>
      <c r="J12" s="37"/>
      <c r="K12" s="38"/>
      <c r="L12" s="22" t="s">
        <v>6</v>
      </c>
      <c r="M12" s="15" t="s">
        <v>7</v>
      </c>
    </row>
    <row r="13" spans="2:20" ht="24" customHeight="1" x14ac:dyDescent="0.2">
      <c r="B13" s="9">
        <f ca="1">F13</f>
        <v>1</v>
      </c>
      <c r="C13" s="10">
        <f ca="1">IF(E13="Select","",IF(AND(F13=1,E13&lt;&gt;"Select"),$K$3,OFFSET(C13,-1,1)))</f>
        <v>0.375</v>
      </c>
      <c r="D13" s="10">
        <f ca="1">IF(ISERROR(E13+C13),"",E13+C13)</f>
        <v>0.39583333333333331</v>
      </c>
      <c r="E13" s="11">
        <v>2.0833333333333332E-2</v>
      </c>
      <c r="F13" s="12">
        <f t="shared" ref="F13:F22" ca="1" si="0">ROW()-ROW(OFFSET(F13,-1,))+IF(ISERROR(OFFSET(F13,-1,)*1),0,OFFSET(F13,-1,))</f>
        <v>1</v>
      </c>
      <c r="G13" s="31" t="s">
        <v>17</v>
      </c>
      <c r="H13" s="32"/>
      <c r="I13" s="32"/>
      <c r="J13" s="32"/>
      <c r="K13" s="33"/>
      <c r="L13" s="18"/>
      <c r="M13" s="12"/>
      <c r="N13" s="24"/>
      <c r="O13" s="17"/>
      <c r="P13" s="17"/>
      <c r="Q13" s="17"/>
      <c r="R13" s="17"/>
      <c r="S13" s="17"/>
      <c r="T13" s="17"/>
    </row>
    <row r="14" spans="2:20" ht="24" customHeight="1" x14ac:dyDescent="0.2">
      <c r="B14" s="9">
        <f ca="1">F14</f>
        <v>2</v>
      </c>
      <c r="C14" s="10">
        <f ca="1">IF(E14="Select","",IF(AND(F14=1,E14&lt;&gt;"Select"),$K$3,OFFSET(C14,-1,1)))</f>
        <v>0.39583333333333331</v>
      </c>
      <c r="D14" s="10">
        <f ca="1">IF(ISERROR(E14+C14),"",E14+C14)</f>
        <v>0.4375</v>
      </c>
      <c r="E14" s="11">
        <v>4.1666666666666664E-2</v>
      </c>
      <c r="F14" s="12">
        <f t="shared" ca="1" si="0"/>
        <v>2</v>
      </c>
      <c r="G14" s="31" t="s">
        <v>93</v>
      </c>
      <c r="H14" s="32"/>
      <c r="I14" s="32"/>
      <c r="J14" s="32"/>
      <c r="K14" s="33"/>
      <c r="L14" s="18"/>
      <c r="M14" s="12" t="s">
        <v>94</v>
      </c>
      <c r="N14" s="24"/>
      <c r="O14" s="17"/>
      <c r="P14" s="17"/>
      <c r="Q14" s="17"/>
      <c r="R14" s="17"/>
      <c r="S14" s="17"/>
      <c r="T14" s="17"/>
    </row>
    <row r="15" spans="2:20" ht="24" customHeight="1" x14ac:dyDescent="0.2">
      <c r="B15" s="9">
        <f ca="1">F15</f>
        <v>3</v>
      </c>
      <c r="C15" s="10">
        <f ca="1">IF(E15="Select","",IF(AND(F15=1,E15&lt;&gt;"Select"),$K$3,OFFSET(C15,-1,1)))</f>
        <v>0.4375</v>
      </c>
      <c r="D15" s="10">
        <f ca="1">IF(ISERROR(E15+C15),"",E15+C15)</f>
        <v>0.44444444444444442</v>
      </c>
      <c r="E15" s="11">
        <v>6.9444444444444441E-3</v>
      </c>
      <c r="F15" s="12">
        <f t="shared" ca="1" si="0"/>
        <v>3</v>
      </c>
      <c r="G15" s="31" t="s">
        <v>9</v>
      </c>
      <c r="H15" s="32"/>
      <c r="I15" s="32"/>
      <c r="J15" s="32"/>
      <c r="K15" s="33"/>
      <c r="L15" s="18"/>
      <c r="M15" s="12"/>
      <c r="N15" s="24"/>
      <c r="O15" s="17"/>
      <c r="P15" s="17"/>
      <c r="Q15" s="17"/>
      <c r="R15" s="17"/>
      <c r="S15" s="17"/>
      <c r="T15" s="17"/>
    </row>
    <row r="16" spans="2:20" ht="24" customHeight="1" x14ac:dyDescent="0.15">
      <c r="B16" s="9">
        <f t="shared" ref="B16:B26" ca="1" si="1">F16</f>
        <v>4</v>
      </c>
      <c r="C16" s="10">
        <f t="shared" ref="C16:C21" ca="1" si="2">IF(E16="Select","",IF(AND(F16=1,E16&lt;&gt;"Select"),$K$3,OFFSET(C16,-1,1)))</f>
        <v>0.44444444444444442</v>
      </c>
      <c r="D16" s="10">
        <f t="shared" ref="D16:D21" ca="1" si="3">IF(ISERROR(E16+C16),"",E16+C16)</f>
        <v>0.47222222222222221</v>
      </c>
      <c r="E16" s="11">
        <v>2.7777777777777776E-2</v>
      </c>
      <c r="F16" s="12">
        <f t="shared" ca="1" si="0"/>
        <v>4</v>
      </c>
      <c r="G16" s="31" t="s">
        <v>83</v>
      </c>
      <c r="H16" s="32"/>
      <c r="I16" s="32"/>
      <c r="J16" s="32"/>
      <c r="K16" s="33"/>
      <c r="L16" s="18"/>
      <c r="M16" s="12" t="s">
        <v>82</v>
      </c>
      <c r="N16" s="26"/>
      <c r="O16" s="17"/>
      <c r="P16" s="18" t="s">
        <v>87</v>
      </c>
      <c r="Q16" s="29"/>
      <c r="R16" s="29"/>
      <c r="S16" s="29"/>
      <c r="T16" s="30"/>
    </row>
    <row r="17" spans="2:20" ht="24" customHeight="1" x14ac:dyDescent="0.15">
      <c r="B17" s="9">
        <f t="shared" ca="1" si="1"/>
        <v>5</v>
      </c>
      <c r="C17" s="10">
        <f t="shared" ca="1" si="2"/>
        <v>0.47222222222222221</v>
      </c>
      <c r="D17" s="10">
        <f t="shared" ca="1" si="3"/>
        <v>0.47916666666666663</v>
      </c>
      <c r="E17" s="11">
        <v>6.9444444444444441E-3</v>
      </c>
      <c r="F17" s="12">
        <f t="shared" ca="1" si="0"/>
        <v>5</v>
      </c>
      <c r="G17" s="31" t="s">
        <v>9</v>
      </c>
      <c r="H17" s="32"/>
      <c r="I17" s="32"/>
      <c r="J17" s="32"/>
      <c r="K17" s="33"/>
      <c r="L17" s="18"/>
      <c r="M17" s="12"/>
      <c r="N17" s="17"/>
      <c r="O17" s="17"/>
      <c r="P17" s="18" t="s">
        <v>89</v>
      </c>
      <c r="Q17" s="29"/>
      <c r="R17" s="29"/>
      <c r="S17" s="29"/>
      <c r="T17" s="30"/>
    </row>
    <row r="18" spans="2:20" ht="24" customHeight="1" x14ac:dyDescent="0.15">
      <c r="B18" s="9">
        <f ca="1">F18</f>
        <v>6</v>
      </c>
      <c r="C18" s="10">
        <f ca="1">IF(E18="Select","",IF(AND(F18=1,E18&lt;&gt;"Select"),$K$3,OFFSET(C18,-1,1)))</f>
        <v>0.47916666666666663</v>
      </c>
      <c r="D18" s="10">
        <f ca="1">IF(ISERROR(E18+C18),"",E18+C18)</f>
        <v>0.49999999999999994</v>
      </c>
      <c r="E18" s="11">
        <v>2.0833333333333332E-2</v>
      </c>
      <c r="F18" s="12">
        <f ca="1">ROW()-ROW(OFFSET(F18,-1,))+IF(ISERROR(OFFSET(F18,-1,)*1),0,OFFSET(F18,-1,))</f>
        <v>6</v>
      </c>
      <c r="G18" s="31" t="s">
        <v>95</v>
      </c>
      <c r="H18" s="32"/>
      <c r="I18" s="32"/>
      <c r="J18" s="32"/>
      <c r="K18" s="33"/>
      <c r="L18" s="18"/>
      <c r="M18" s="12" t="s">
        <v>84</v>
      </c>
      <c r="N18" s="17"/>
      <c r="O18" s="17"/>
      <c r="P18" s="18" t="s">
        <v>9</v>
      </c>
      <c r="Q18" s="29"/>
      <c r="R18" s="29"/>
      <c r="S18" s="29"/>
      <c r="T18" s="30"/>
    </row>
    <row r="19" spans="2:20" ht="24" customHeight="1" x14ac:dyDescent="0.2">
      <c r="B19" s="9">
        <f ca="1">F19</f>
        <v>7</v>
      </c>
      <c r="C19" s="10">
        <f ca="1">IF(E19="Select","",IF(AND(F19=1,E19&lt;&gt;"Select"),$K$3,OFFSET(C19,-1,1)))</f>
        <v>0.49999999999999994</v>
      </c>
      <c r="D19" s="10">
        <f ca="1">IF(ISERROR(E19+C19),"",E19+C19)</f>
        <v>0.54166666666666663</v>
      </c>
      <c r="E19" s="11">
        <v>4.1666666666666664E-2</v>
      </c>
      <c r="F19" s="12">
        <f ca="1">ROW()-ROW(OFFSET(F19,-1,))+IF(ISERROR(OFFSET(F19,-1,)*1),0,OFFSET(F19,-1,))</f>
        <v>7</v>
      </c>
      <c r="G19" s="31" t="s">
        <v>26</v>
      </c>
      <c r="H19" s="32"/>
      <c r="I19" s="32"/>
      <c r="J19" s="32"/>
      <c r="K19" s="33"/>
      <c r="L19" s="18"/>
      <c r="M19" s="12" t="s">
        <v>85</v>
      </c>
      <c r="N19" s="24"/>
      <c r="O19" s="20"/>
      <c r="P19" s="18" t="s">
        <v>91</v>
      </c>
      <c r="Q19" s="29"/>
      <c r="R19" s="29"/>
      <c r="S19" s="29"/>
      <c r="T19" s="30"/>
    </row>
    <row r="20" spans="2:20" ht="24" customHeight="1" x14ac:dyDescent="0.2">
      <c r="B20" s="9">
        <f ca="1">F20</f>
        <v>8</v>
      </c>
      <c r="C20" s="10">
        <f ca="1">IF(E20="Select","",IF(AND(F20=1,E20&lt;&gt;"Select"),$K$3,OFFSET(C20,-1,1)))</f>
        <v>0.54166666666666663</v>
      </c>
      <c r="D20" s="10">
        <f ca="1">IF(ISERROR(E20+C20),"",E20+C20)</f>
        <v>0.5625</v>
      </c>
      <c r="E20" s="11">
        <v>2.0833333333333332E-2</v>
      </c>
      <c r="F20" s="12">
        <f ca="1">ROW()-ROW(OFFSET(F20,-1,))+IF(ISERROR(OFFSET(F20,-1,)*1),0,OFFSET(F20,-1,))</f>
        <v>8</v>
      </c>
      <c r="G20" s="31" t="s">
        <v>86</v>
      </c>
      <c r="H20" s="32"/>
      <c r="I20" s="32"/>
      <c r="J20" s="32"/>
      <c r="K20" s="33"/>
      <c r="L20" s="18"/>
      <c r="M20" s="12" t="s">
        <v>88</v>
      </c>
      <c r="N20" s="24"/>
      <c r="O20" s="17"/>
      <c r="P20" s="18" t="s">
        <v>92</v>
      </c>
      <c r="Q20" s="29"/>
      <c r="R20" s="29"/>
      <c r="S20" s="29"/>
      <c r="T20" s="30"/>
    </row>
    <row r="21" spans="2:20" ht="24" customHeight="1" x14ac:dyDescent="0.2">
      <c r="B21" s="9">
        <f t="shared" ca="1" si="1"/>
        <v>9</v>
      </c>
      <c r="C21" s="10">
        <f t="shared" ca="1" si="2"/>
        <v>0.5625</v>
      </c>
      <c r="D21" s="10">
        <f t="shared" ca="1" si="3"/>
        <v>0.57638888888888884</v>
      </c>
      <c r="E21" s="11">
        <v>1.3888888888888888E-2</v>
      </c>
      <c r="F21" s="12">
        <f t="shared" ca="1" si="0"/>
        <v>9</v>
      </c>
      <c r="G21" s="31" t="s">
        <v>87</v>
      </c>
      <c r="H21" s="32"/>
      <c r="I21" s="32"/>
      <c r="J21" s="32"/>
      <c r="K21" s="33"/>
      <c r="L21" s="18"/>
      <c r="M21" s="12" t="s">
        <v>90</v>
      </c>
      <c r="N21" s="24"/>
      <c r="O21" s="17"/>
      <c r="P21" s="18" t="s">
        <v>89</v>
      </c>
      <c r="Q21" s="29"/>
      <c r="R21" s="29"/>
      <c r="S21" s="29"/>
      <c r="T21" s="30"/>
    </row>
    <row r="22" spans="2:20" ht="24" customHeight="1" x14ac:dyDescent="0.2">
      <c r="B22" s="9">
        <f t="shared" ref="B22" ca="1" si="4">F22</f>
        <v>10</v>
      </c>
      <c r="C22" s="10">
        <f t="shared" ref="C22" ca="1" si="5">IF(E22="Select","",IF(AND(F22=1,E22&lt;&gt;"Select"),$K$3,OFFSET(C22,-1,1)))</f>
        <v>0.57638888888888884</v>
      </c>
      <c r="D22" s="10">
        <f t="shared" ref="D22" ca="1" si="6">IF(ISERROR(E22+C22),"",E22+C22)</f>
        <v>0.58333333333333326</v>
      </c>
      <c r="E22" s="11">
        <v>6.9444444444444441E-3</v>
      </c>
      <c r="F22" s="12">
        <f t="shared" ca="1" si="0"/>
        <v>10</v>
      </c>
      <c r="G22" s="31" t="s">
        <v>91</v>
      </c>
      <c r="H22" s="32"/>
      <c r="I22" s="32"/>
      <c r="J22" s="32"/>
      <c r="K22" s="33"/>
      <c r="L22" s="18"/>
      <c r="M22" s="12"/>
      <c r="N22" s="24"/>
      <c r="O22" s="17"/>
      <c r="P22" s="18" t="s">
        <v>62</v>
      </c>
      <c r="Q22" s="29"/>
      <c r="R22" s="29"/>
      <c r="S22" s="29"/>
      <c r="T22" s="30"/>
    </row>
    <row r="23" spans="2:20" ht="24" customHeight="1" x14ac:dyDescent="0.15">
      <c r="B23" s="9">
        <f t="shared" ca="1" si="1"/>
        <v>11</v>
      </c>
      <c r="C23" s="10">
        <f t="shared" ref="C23:C26" ca="1" si="7">IF(E23="Select","",IF(AND(F23=1,E23&lt;&gt;"Select"),$K$3,OFFSET(C23,-1,1)))</f>
        <v>0.58333333333333326</v>
      </c>
      <c r="D23" s="10">
        <f t="shared" ref="D23:D26" ca="1" si="8">IF(ISERROR(E23+C23),"",E23+C23)</f>
        <v>0.59027777777777768</v>
      </c>
      <c r="E23" s="11">
        <v>6.9444444444444441E-3</v>
      </c>
      <c r="F23" s="12">
        <f t="shared" ref="F23:F26" ca="1" si="9">ROW()-ROW(OFFSET(F23,-1,))+IF(ISERROR(OFFSET(F23,-1,)*1),0,OFFSET(F23,-1,))</f>
        <v>11</v>
      </c>
      <c r="G23" s="31" t="s">
        <v>92</v>
      </c>
      <c r="H23" s="32"/>
      <c r="I23" s="32"/>
      <c r="J23" s="32"/>
      <c r="K23" s="33"/>
      <c r="L23" s="18"/>
      <c r="M23" s="12"/>
      <c r="N23" s="17"/>
      <c r="O23" s="17"/>
      <c r="P23" s="17"/>
      <c r="Q23" s="17"/>
      <c r="R23" s="17"/>
      <c r="S23" s="17"/>
      <c r="T23" s="17"/>
    </row>
    <row r="24" spans="2:20" ht="24" customHeight="1" x14ac:dyDescent="0.15">
      <c r="B24" s="9">
        <f t="shared" ref="B24" ca="1" si="10">F24</f>
        <v>12</v>
      </c>
      <c r="C24" s="10">
        <f t="shared" ca="1" si="7"/>
        <v>0.59027777777777768</v>
      </c>
      <c r="D24" s="10">
        <f t="shared" ca="1" si="8"/>
        <v>0.5972222222222221</v>
      </c>
      <c r="E24" s="11">
        <v>6.9444444444444441E-3</v>
      </c>
      <c r="F24" s="12">
        <f t="shared" ca="1" si="9"/>
        <v>12</v>
      </c>
      <c r="G24" s="31" t="s">
        <v>9</v>
      </c>
      <c r="H24" s="32"/>
      <c r="I24" s="32"/>
      <c r="J24" s="32"/>
      <c r="K24" s="33"/>
      <c r="L24" s="18"/>
      <c r="M24" s="12"/>
      <c r="N24" s="17"/>
      <c r="O24" s="17"/>
      <c r="P24" s="17"/>
      <c r="Q24" s="17"/>
      <c r="R24" s="17"/>
      <c r="S24" s="17"/>
      <c r="T24" s="17"/>
    </row>
    <row r="25" spans="2:20" ht="24" customHeight="1" x14ac:dyDescent="0.2">
      <c r="B25" s="9">
        <f t="shared" ca="1" si="1"/>
        <v>13</v>
      </c>
      <c r="C25" s="10">
        <f t="shared" ca="1" si="7"/>
        <v>0.5972222222222221</v>
      </c>
      <c r="D25" s="10">
        <f t="shared" ca="1" si="8"/>
        <v>0.70138888888888873</v>
      </c>
      <c r="E25" s="39">
        <v>0.10416666666666667</v>
      </c>
      <c r="F25" s="12">
        <f t="shared" ca="1" si="9"/>
        <v>13</v>
      </c>
      <c r="G25" s="31" t="s">
        <v>96</v>
      </c>
      <c r="H25" s="32"/>
      <c r="I25" s="32"/>
      <c r="J25" s="32"/>
      <c r="K25" s="33"/>
      <c r="L25" s="18"/>
      <c r="M25" s="12"/>
      <c r="N25" s="24"/>
      <c r="O25" s="17"/>
      <c r="P25" s="17"/>
      <c r="Q25" s="17"/>
      <c r="R25" s="17"/>
      <c r="S25" s="17"/>
      <c r="T25" s="17"/>
    </row>
    <row r="26" spans="2:20" ht="24" customHeight="1" x14ac:dyDescent="0.2">
      <c r="B26" s="9">
        <f t="shared" ca="1" si="1"/>
        <v>14</v>
      </c>
      <c r="C26" s="10">
        <f t="shared" ca="1" si="7"/>
        <v>0.70138888888888873</v>
      </c>
      <c r="D26" s="10">
        <f t="shared" ca="1" si="8"/>
        <v>0.70138888888888873</v>
      </c>
      <c r="E26" s="11">
        <v>0</v>
      </c>
      <c r="F26" s="12">
        <f t="shared" ca="1" si="9"/>
        <v>14</v>
      </c>
      <c r="G26" s="31" t="s">
        <v>62</v>
      </c>
      <c r="H26" s="32"/>
      <c r="I26" s="32"/>
      <c r="J26" s="32"/>
      <c r="K26" s="33"/>
      <c r="L26" s="18"/>
      <c r="M26" s="12"/>
      <c r="N26" s="24"/>
      <c r="O26" s="17"/>
      <c r="P26" s="17"/>
      <c r="Q26" s="17"/>
      <c r="R26" s="17"/>
      <c r="S26" s="17"/>
      <c r="T26" s="17"/>
    </row>
    <row r="27" spans="2:20" ht="22.5" customHeight="1" x14ac:dyDescent="0.15">
      <c r="E27" s="13">
        <f>SUM(E13:E26)</f>
        <v>0.3263888888888889</v>
      </c>
    </row>
    <row r="30" spans="2:20" ht="16" x14ac:dyDescent="0.2">
      <c r="B30" s="8" t="s">
        <v>10</v>
      </c>
    </row>
    <row r="33" spans="3:3" ht="16" x14ac:dyDescent="0.2">
      <c r="C33" s="23"/>
    </row>
    <row r="34" spans="3:3" ht="16" x14ac:dyDescent="0.2">
      <c r="C34" s="24"/>
    </row>
    <row r="35" spans="3:3" ht="15" x14ac:dyDescent="0.2">
      <c r="C35" s="25"/>
    </row>
  </sheetData>
  <mergeCells count="17">
    <mergeCell ref="G25:K25"/>
    <mergeCell ref="G23:K23"/>
    <mergeCell ref="G26:K26"/>
    <mergeCell ref="F2:I2"/>
    <mergeCell ref="F3:I3"/>
    <mergeCell ref="F12:K12"/>
    <mergeCell ref="G13:K13"/>
    <mergeCell ref="G16:K16"/>
    <mergeCell ref="G15:K15"/>
    <mergeCell ref="G14:K14"/>
    <mergeCell ref="G19:K19"/>
    <mergeCell ref="G20:K20"/>
    <mergeCell ref="G21:K21"/>
    <mergeCell ref="G24:K24"/>
    <mergeCell ref="G17:K17"/>
    <mergeCell ref="G18:K18"/>
    <mergeCell ref="G22:K22"/>
  </mergeCells>
  <conditionalFormatting sqref="E27">
    <cfRule type="expression" dxfId="0" priority="1" stopIfTrue="1">
      <formula>#REF!&lt;&gt;#REF!</formula>
    </cfRule>
  </conditionalFormatting>
  <dataValidations count="3">
    <dataValidation allowBlank="1" showInputMessage="1" showErrorMessage="1" prompt="Enter time as H:MM:SS (update AM/PM as necessary)." sqref="K3:L11" xr:uid="{90388A18-C8F8-4289-9C54-D45BB899292C}"/>
    <dataValidation type="list" allowBlank="1" showInputMessage="1" showErrorMessage="1" sqref="E13:E24 E26" xr:uid="{442B30E4-E34A-4905-A5CF-6B3CFE36CE25}">
      <formula1>"0:00, 0:05, 0:10, 0:15, 0:20, 0:25, 0:30, 0:35, 0:40, 0:45, 0:50, 0:55, 1:00, 1:15, 1:30"</formula1>
    </dataValidation>
    <dataValidation type="list" allowBlank="1" showInputMessage="1" showErrorMessage="1" sqref="E25" xr:uid="{8F7D9711-0EFA-2740-9F5F-40739E0BC102}">
      <formula1>"0:00, 0:05, 0:10, 0:15, 0:20, 0:25, 0:30, 0:35, 0:40, 0:45, 0:50, 0:55, 1:00, 1:15, 1:30, 2:30"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Day1</vt:lpstr>
      <vt:lpstr>Day 2</vt:lpstr>
      <vt:lpstr>Day 3</vt:lpstr>
      <vt:lpstr>Day 4</vt:lpstr>
      <vt:lpstr>'Day 2'!Druckbereich</vt:lpstr>
      <vt:lpstr>'Day 3'!Druckbereich</vt:lpstr>
      <vt:lpstr>'Day 4'!Druckbereich</vt:lpstr>
      <vt:lpstr>'Day1'!Druckbereich</vt:lpstr>
    </vt:vector>
  </TitlesOfParts>
  <Manager/>
  <Company>Tullius Taylor Sartain &amp; Sartain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jshultz</dc:creator>
  <cp:keywords/>
  <dc:description/>
  <cp:lastModifiedBy>Kahl, Hendrik</cp:lastModifiedBy>
  <cp:revision/>
  <cp:lastPrinted>2018-10-25T06:29:09Z</cp:lastPrinted>
  <dcterms:created xsi:type="dcterms:W3CDTF">2011-07-13T02:16:15Z</dcterms:created>
  <dcterms:modified xsi:type="dcterms:W3CDTF">2024-09-13T07:31:44Z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